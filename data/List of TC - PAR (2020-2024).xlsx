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n\Student_Request\OUTPUT\NOVEMBER 2025\CADS-S1125062- De Luna\"/>
    </mc:Choice>
  </mc:AlternateContent>
  <xr:revisionPtr revIDLastSave="0" documentId="13_ncr:1_{43B59E45-F840-4BD4-BC55-A9E1FD70E96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ist of T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0" i="2" l="1"/>
  <c r="U39" i="2" l="1"/>
  <c r="U38" i="2" l="1"/>
  <c r="U36" i="2" l="1"/>
  <c r="U37" i="2"/>
  <c r="U7" i="2" l="1"/>
  <c r="U8" i="2"/>
  <c r="U9" i="2"/>
  <c r="U10" i="2"/>
  <c r="U11" i="2"/>
  <c r="U12" i="2"/>
  <c r="U13" i="2"/>
  <c r="U14" i="2"/>
  <c r="U15" i="2"/>
  <c r="U16" i="2"/>
  <c r="U6" i="2"/>
  <c r="U5" i="2"/>
  <c r="U25" i="2"/>
  <c r="U24" i="2"/>
  <c r="U23" i="2"/>
  <c r="U22" i="2"/>
  <c r="U21" i="2"/>
  <c r="U17" i="2" l="1"/>
  <c r="U26" i="2"/>
</calcChain>
</file>

<file path=xl/sharedStrings.xml><?xml version="1.0" encoding="utf-8"?>
<sst xmlns="http://schemas.openxmlformats.org/spreadsheetml/2006/main" count="318" uniqueCount="126">
  <si>
    <t>YEAR</t>
  </si>
  <si>
    <t>MONTH</t>
  </si>
  <si>
    <t>TYPE</t>
  </si>
  <si>
    <t>NOTE :</t>
  </si>
  <si>
    <r>
      <t>PREPARED BY:</t>
    </r>
    <r>
      <rPr>
        <b/>
        <sz val="11"/>
        <rFont val="Arial"/>
        <family val="2"/>
      </rPr>
      <t xml:space="preserve"> CADS/CAD/PAGASA</t>
    </r>
  </si>
  <si>
    <t>means Tropical Cyclones with multiple entry in PAR</t>
  </si>
  <si>
    <t>**</t>
  </si>
  <si>
    <t>Month</t>
  </si>
  <si>
    <t>May</t>
  </si>
  <si>
    <t>TOTAL</t>
  </si>
  <si>
    <t>TC NAME</t>
  </si>
  <si>
    <t>PAR BEG</t>
  </si>
  <si>
    <t>PAR END</t>
  </si>
  <si>
    <t>TC Type</t>
  </si>
  <si>
    <t>STY</t>
  </si>
  <si>
    <t>TY</t>
  </si>
  <si>
    <t>STS</t>
  </si>
  <si>
    <t>TS</t>
  </si>
  <si>
    <t>TD</t>
  </si>
  <si>
    <t>Tropical Depression</t>
  </si>
  <si>
    <t>Tropical Storm</t>
  </si>
  <si>
    <t>Severe Tropical Storm</t>
  </si>
  <si>
    <t>Typhoon</t>
  </si>
  <si>
    <t>MSW</t>
  </si>
  <si>
    <t>means date when the tropical cyclone entered the PAR</t>
  </si>
  <si>
    <t>means date when the tropical cyclone exited the PAR</t>
  </si>
  <si>
    <t>means estimated Maximum Sustained Winds in km/h</t>
  </si>
  <si>
    <t xml:space="preserve">TROPICAL CYCLONE CLASSIFICATION 
</t>
  </si>
  <si>
    <t>*From May 2015 to Present</t>
  </si>
  <si>
    <t>*Before May 2015</t>
  </si>
  <si>
    <r>
      <rPr>
        <b/>
        <sz val="11"/>
        <color theme="1"/>
        <rFont val="Arial"/>
        <family val="2"/>
      </rPr>
      <t>TS - Tropical Storm</t>
    </r>
    <r>
      <rPr>
        <sz val="11"/>
        <color theme="1"/>
        <rFont val="Arial"/>
        <family val="2"/>
      </rPr>
      <t xml:space="preserve">                    - 62-88 km/h</t>
    </r>
  </si>
  <si>
    <r>
      <rPr>
        <b/>
        <sz val="11"/>
        <color theme="1"/>
        <rFont val="Arial"/>
        <family val="2"/>
      </rPr>
      <t>TY - Typhoon</t>
    </r>
    <r>
      <rPr>
        <sz val="11"/>
        <color theme="1"/>
        <rFont val="Arial"/>
        <family val="2"/>
      </rPr>
      <t xml:space="preserve">                              - 118-220 km/h</t>
    </r>
  </si>
  <si>
    <r>
      <t xml:space="preserve">TD - Tropical Depression         </t>
    </r>
    <r>
      <rPr>
        <sz val="11"/>
        <color theme="1"/>
        <rFont val="Arial"/>
        <family val="2"/>
      </rPr>
      <t xml:space="preserve"> - 61 km/h or less</t>
    </r>
  </si>
  <si>
    <r>
      <rPr>
        <b/>
        <sz val="11"/>
        <color theme="1"/>
        <rFont val="Arial"/>
        <family val="2"/>
      </rPr>
      <t>STY - Super Typhoon</t>
    </r>
    <r>
      <rPr>
        <sz val="11"/>
        <color theme="1"/>
        <rFont val="Arial"/>
        <family val="2"/>
      </rPr>
      <t xml:space="preserve">                - more than 220 km/h</t>
    </r>
  </si>
  <si>
    <r>
      <rPr>
        <b/>
        <sz val="11"/>
        <color theme="1"/>
        <rFont val="Arial"/>
        <family val="2"/>
      </rPr>
      <t>STS - Severe Tropical Storm</t>
    </r>
    <r>
      <rPr>
        <sz val="11"/>
        <color theme="1"/>
        <rFont val="Arial"/>
        <family val="2"/>
      </rPr>
      <t xml:space="preserve">   - 89-117 km/h</t>
    </r>
  </si>
  <si>
    <r>
      <t xml:space="preserve">TD - Tropical Depression         </t>
    </r>
    <r>
      <rPr>
        <sz val="11"/>
        <color theme="1"/>
        <rFont val="Arial"/>
        <family val="2"/>
      </rPr>
      <t>- 63 km/h or less</t>
    </r>
  </si>
  <si>
    <r>
      <t xml:space="preserve">TS - Tropical Storm           </t>
    </r>
    <r>
      <rPr>
        <sz val="11"/>
        <color theme="1"/>
        <rFont val="Arial"/>
        <family val="2"/>
      </rPr>
      <t xml:space="preserve">        - 64-118 km/h</t>
    </r>
  </si>
  <si>
    <r>
      <t>TY - Typhoon</t>
    </r>
    <r>
      <rPr>
        <sz val="11"/>
        <color theme="1"/>
        <rFont val="Arial"/>
        <family val="2"/>
      </rPr>
      <t xml:space="preserve">                             - more than 118 km/h</t>
    </r>
  </si>
  <si>
    <t># of TC</t>
  </si>
  <si>
    <r>
      <rPr>
        <b/>
        <sz val="11"/>
        <color theme="1"/>
        <rFont val="Arial"/>
        <family val="2"/>
      </rPr>
      <t>TY - Typhoon</t>
    </r>
    <r>
      <rPr>
        <sz val="11"/>
        <color theme="1"/>
        <rFont val="Arial"/>
        <family val="2"/>
      </rPr>
      <t xml:space="preserve">                              - 118-184 km/h</t>
    </r>
  </si>
  <si>
    <r>
      <rPr>
        <b/>
        <sz val="11"/>
        <color theme="1"/>
        <rFont val="Arial"/>
        <family val="2"/>
      </rPr>
      <t>STY - Super Typhoon</t>
    </r>
    <r>
      <rPr>
        <sz val="11"/>
        <color theme="1"/>
        <rFont val="Arial"/>
        <family val="2"/>
      </rPr>
      <t xml:space="preserve">                - more than 184 km/h</t>
    </r>
  </si>
  <si>
    <t>*From March 2022 to Present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</si>
  <si>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</si>
  <si>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</si>
  <si>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</si>
  <si>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</si>
  <si>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</si>
  <si>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</si>
  <si>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</si>
  <si>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</si>
  <si>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</si>
  <si>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</si>
  <si>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</si>
  <si>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Super Typhoon</t>
  </si>
  <si>
    <t xml:space="preserve"> </t>
  </si>
  <si>
    <t>BETTY</t>
  </si>
  <si>
    <t>HELEN</t>
  </si>
  <si>
    <t>AURING</t>
  </si>
  <si>
    <t>NENENG</t>
  </si>
  <si>
    <t>HUANING</t>
  </si>
  <si>
    <t>ISANG</t>
  </si>
  <si>
    <t>MARING</t>
  </si>
  <si>
    <t>GORING</t>
  </si>
  <si>
    <t>BISING</t>
  </si>
  <si>
    <t>CRISING</t>
  </si>
  <si>
    <t>EMONG</t>
  </si>
  <si>
    <t>GORIO</t>
  </si>
  <si>
    <t>JOLINA</t>
  </si>
  <si>
    <t>KIKO</t>
  </si>
  <si>
    <t>AGATON</t>
  </si>
  <si>
    <t>BASYANG</t>
  </si>
  <si>
    <t>CALOY</t>
  </si>
  <si>
    <t>FLORITA</t>
  </si>
  <si>
    <t>INDAY</t>
  </si>
  <si>
    <t>AMANG</t>
  </si>
  <si>
    <t>CHEDENG</t>
  </si>
  <si>
    <t>DODONG</t>
  </si>
  <si>
    <t>EGAY</t>
  </si>
  <si>
    <t>FALCON</t>
  </si>
  <si>
    <t>INENG</t>
  </si>
  <si>
    <t>KABAYAN</t>
  </si>
  <si>
    <t>AMBO</t>
  </si>
  <si>
    <t>BUTCHOY</t>
  </si>
  <si>
    <t>DINDO</t>
  </si>
  <si>
    <t>ENTENG</t>
  </si>
  <si>
    <t>GENER</t>
  </si>
  <si>
    <t>IGME</t>
  </si>
  <si>
    <t>JULIAN</t>
  </si>
  <si>
    <t>MARCE</t>
  </si>
  <si>
    <t>OFEL</t>
  </si>
  <si>
    <t>QUINTA</t>
  </si>
  <si>
    <t>ROLLY</t>
  </si>
  <si>
    <t>SIONY</t>
  </si>
  <si>
    <t>TONYO</t>
  </si>
  <si>
    <t>DANTE</t>
  </si>
  <si>
    <t>NANDO</t>
  </si>
  <si>
    <t>DOMENG</t>
  </si>
  <si>
    <t>ESTER</t>
  </si>
  <si>
    <t>HENRY</t>
  </si>
  <si>
    <t>LUIS</t>
  </si>
  <si>
    <t>PAENG</t>
  </si>
  <si>
    <t>QUEENIE</t>
  </si>
  <si>
    <t>HANNA</t>
  </si>
  <si>
    <t>ULYSSES</t>
  </si>
  <si>
    <t>CARINA</t>
  </si>
  <si>
    <t>FERDIE</t>
  </si>
  <si>
    <t>FABIAN</t>
  </si>
  <si>
    <t>ODETTE</t>
  </si>
  <si>
    <t>KARDING</t>
  </si>
  <si>
    <t>JENNY</t>
  </si>
  <si>
    <t>LANNIE</t>
  </si>
  <si>
    <t>GARDO</t>
  </si>
  <si>
    <t>JOSIE</t>
  </si>
  <si>
    <t>MAYMAY</t>
  </si>
  <si>
    <t>KRISTINE</t>
  </si>
  <si>
    <t>LEON</t>
  </si>
  <si>
    <t>NIKA</t>
  </si>
  <si>
    <t>PEPITO</t>
  </si>
  <si>
    <t>VICKY</t>
  </si>
  <si>
    <t>OBET</t>
  </si>
  <si>
    <t>ROSAL</t>
  </si>
  <si>
    <t>AGHON</t>
  </si>
  <si>
    <t>QUERUBIN</t>
  </si>
  <si>
    <t>ROMINA</t>
  </si>
  <si>
    <t>LIST OF TROPICAL CYCLONES WHICH CROSSED THE PAR</t>
  </si>
  <si>
    <t xml:space="preserve"> FROM 2020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</si>
</sst>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0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164" fontId="2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164" fontId="5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right"/>
    </xf>
    <xf numFmtId="0" fontId="7" fillId="0" borderId="0" xfId="0" applyFont="1"/>
    <xf numFmtId="49" fontId="9" fillId="0" borderId="0" xfId="0" applyNumberFormat="1" applyFont="1"/>
    <xf numFmtId="0" fontId="6" fillId="0" borderId="0" xfId="1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2" fillId="0" borderId="0" xfId="0" applyFont="1" applyAlignment="1">
      <alignment horizontal="right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164" fontId="5" fillId="0" borderId="0" xfId="1" applyNumberFormat="1" applyFont="1" applyAlignment="1">
      <alignment horizontal="right"/>
    </xf>
    <xf numFmtId="164" fontId="5" fillId="0" borderId="0" xfId="1" applyNumberFormat="1" applyFont="1"/>
    <xf numFmtId="0" fontId="3" fillId="0" borderId="0" xfId="0" applyFont="1"/>
    <xf numFmtId="0" fontId="16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4" fillId="3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14" fontId="14" fillId="3" borderId="3" xfId="0" applyNumberFormat="1" applyFont="1" applyFill="1" applyBorder="1" applyAlignment="1">
      <alignment horizontal="center" vertical="center"/>
    </xf>
    <xf numFmtId="49" fontId="14" fillId="3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0" xfId="0" applyFont="1"/>
    <xf numFmtId="0" fontId="10" fillId="0" borderId="0" xfId="0" applyFont="1"/>
    <xf numFmtId="0" fontId="9" fillId="0" borderId="0" xfId="0" applyFont="1"/>
    <xf numFmtId="164" fontId="5" fillId="0" borderId="0" xfId="1" applyNumberFormat="1" applyFont="1" applyAlignment="1">
      <alignment vertical="center"/>
    </xf>
    <xf numFmtId="0" fontId="6" fillId="0" borderId="0" xfId="1" applyFont="1" applyAlignment="1">
      <alignment horizontal="left" wrapText="1"/>
    </xf>
    <xf numFmtId="0" fontId="11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33CCFF"/>
      <color rgb="FF0099FF"/>
      <color rgb="FFCC00FF"/>
      <color rgb="FF9933FF"/>
      <color rgb="FFFF00FF"/>
      <color rgb="FFD5F1FF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Monthly Distribution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of Tropical Cyclones which Crossed the PAR from 2020 to 2024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'List of TC'!$U$4</c:f>
              <c:strCache>
                <c:ptCount val="1"/>
                <c:pt idx="0">
                  <c:v># of TC</c:v>
                </c:pt>
              </c:strCache>
            </c:strRef>
          </c:tx>
          <c:spPr>
            <a:gradFill flip="none" rotWithShape="1">
              <a:gsLst>
                <a:gs pos="0">
                  <a:srgbClr val="0070C0"/>
                </a:gs>
                <a:gs pos="48000">
                  <a:srgbClr val="0099FF"/>
                </a:gs>
                <a:gs pos="100000">
                  <a:srgbClr val="33CCFF"/>
                </a:gs>
              </a:gsLst>
              <a:lin ang="5400000" scaled="1"/>
              <a:tileRect/>
            </a:gradFill>
          </c:spPr>
          <c:invertIfNegative val="0"/>
          <c:cat>
            <c:strRef>
              <c:f>'List of TC'!$T$5:$T$16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'List of TC'!$U$5:$U$16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10</c:v>
                </c:pt>
                <c:pt idx="7">
                  <c:v>15</c:v>
                </c:pt>
                <c:pt idx="8">
                  <c:v>17</c:v>
                </c:pt>
                <c:pt idx="9">
                  <c:v>15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8-4C89-98B0-DBAF93C72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gapDepth val="136"/>
        <c:shape val="box"/>
        <c:axId val="388799992"/>
        <c:axId val="388805872"/>
        <c:axId val="0"/>
      </c:bar3DChart>
      <c:catAx>
        <c:axId val="388799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8805872"/>
        <c:crosses val="autoZero"/>
        <c:auto val="1"/>
        <c:lblAlgn val="ctr"/>
        <c:lblOffset val="100"/>
        <c:noMultiLvlLbl val="0"/>
      </c:catAx>
      <c:valAx>
        <c:axId val="3888058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crossAx val="38879999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 rtl="0">
              <a:defRPr>
                <a:solidFill>
                  <a:sysClr val="windowText" lastClr="000000"/>
                </a:solidFill>
              </a:defRPr>
            </a:pPr>
            <a:endParaRPr lang="en-US"/>
          </a:p>
        </c:txPr>
      </c:dTable>
    </c:plotArea>
    <c:plotVisOnly val="1"/>
    <c:dispBlanksAs val="gap"/>
    <c:showDLblsOverMax val="0"/>
  </c:chart>
  <c:spPr>
    <a:ln w="9525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Category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of Tropical Cyclones which Crossed the PAR from 2020 to 2024</a:t>
            </a:r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0904895695143674"/>
          <c:y val="2.9299364526774889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'List of TC'!$U$20</c:f>
              <c:strCache>
                <c:ptCount val="1"/>
                <c:pt idx="0">
                  <c:v># of TC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C051-42C3-85D4-7D0EB0993264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3-C051-42C3-85D4-7D0EB099326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C051-42C3-85D4-7D0EB0993264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</c:spPr>
            <c:extLst>
              <c:ext xmlns:c16="http://schemas.microsoft.com/office/drawing/2014/chart" uri="{C3380CC4-5D6E-409C-BE32-E72D297353CC}">
                <c16:uniqueId val="{00000007-C051-42C3-85D4-7D0EB099326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C051-42C3-85D4-7D0EB0993264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'List of TC'!$T$21:$T$25</c:f>
              <c:strCache>
                <c:ptCount val="5"/>
                <c:pt idx="0">
                  <c:v>Tropical Depression</c:v>
                </c:pt>
                <c:pt idx="1">
                  <c:v>Tropical Storm</c:v>
                </c:pt>
                <c:pt idx="2">
                  <c:v>Severe Tropical Storm</c:v>
                </c:pt>
                <c:pt idx="3">
                  <c:v>Typhoon</c:v>
                </c:pt>
                <c:pt idx="4">
                  <c:v>Super Typhoon</c:v>
                </c:pt>
              </c:strCache>
            </c:strRef>
          </c:cat>
          <c:val>
            <c:numRef>
              <c:f>'List of TC'!$U$21:$U$25</c:f>
              <c:numCache>
                <c:formatCode>General</c:formatCode>
                <c:ptCount val="5"/>
                <c:pt idx="0">
                  <c:v>23</c:v>
                </c:pt>
                <c:pt idx="1">
                  <c:v>17</c:v>
                </c:pt>
                <c:pt idx="2">
                  <c:v>11</c:v>
                </c:pt>
                <c:pt idx="3">
                  <c:v>17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51-42C3-85D4-7D0EB09932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l"/>
      <c:overlay val="0"/>
    </c:legend>
    <c:plotVisOnly val="1"/>
    <c:dispBlanksAs val="gap"/>
    <c:showDLblsOverMax val="0"/>
  </c:chart>
  <c:spPr>
    <a:ln w="9525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Annual</a:t>
            </a:r>
            <a:r>
              <a:rPr lang="en-US" sz="11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Number of Tropical Cyclones which Crossed the PAR from 2020 to 2024</a:t>
            </a:r>
            <a:endPara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5230402430757559"/>
          <c:y val="2.73170661757720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65242081190422E-2"/>
          <c:y val="0.20624384962707903"/>
          <c:w val="0.88383454841013265"/>
          <c:h val="0.655107341371911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'List of TC'!$U$35</c:f>
              <c:strCache>
                <c:ptCount val="1"/>
                <c:pt idx="0">
                  <c:v># of TC</c:v>
                </c:pt>
              </c:strCache>
            </c:strRef>
          </c:tx>
          <c:spPr>
            <a:gradFill flip="none" rotWithShape="1">
              <a:gsLst>
                <a:gs pos="0">
                  <a:srgbClr val="0070C0"/>
                </a:gs>
                <a:gs pos="48000">
                  <a:srgbClr val="0099FF"/>
                </a:gs>
                <a:gs pos="100000">
                  <a:srgbClr val="33CCFF"/>
                </a:gs>
              </a:gsLst>
              <a:lin ang="2160000" scaled="0"/>
              <a:tileRect/>
            </a:gradFill>
            <a:ln w="25400" cap="flat" cmpd="sng" algn="ctr">
              <a:noFill/>
              <a:prstDash val="solid"/>
            </a:ln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numRef>
              <c:f>'List of TC'!$T$36:$T$40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'List of TC'!$U$36:$U$40</c:f>
              <c:numCache>
                <c:formatCode>General</c:formatCode>
                <c:ptCount val="5"/>
                <c:pt idx="0">
                  <c:v>22</c:v>
                </c:pt>
                <c:pt idx="1">
                  <c:v>15</c:v>
                </c:pt>
                <c:pt idx="2">
                  <c:v>18</c:v>
                </c:pt>
                <c:pt idx="3">
                  <c:v>11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7-4321-8172-B24381496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"/>
        <c:overlap val="-41"/>
        <c:axId val="388803128"/>
        <c:axId val="388803520"/>
      </c:barChart>
      <c:catAx>
        <c:axId val="38880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03520"/>
        <c:crosses val="autoZero"/>
        <c:auto val="1"/>
        <c:lblAlgn val="ctr"/>
        <c:lblOffset val="100"/>
        <c:tickLblSkip val="2"/>
        <c:noMultiLvlLbl val="0"/>
      </c:catAx>
      <c:valAx>
        <c:axId val="38880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Number of TC</a:t>
                </a:r>
              </a:p>
            </c:rich>
          </c:tx>
          <c:layout>
            <c:manualLayout>
              <c:xMode val="edge"/>
              <c:yMode val="edge"/>
              <c:x val="0"/>
              <c:y val="0.391600898380155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0312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221147</xdr:colOff>
      <xdr:row>2</xdr:row>
      <xdr:rowOff>140805</xdr:rowOff>
    </xdr:from>
    <xdr:to>
      <xdr:col>17</xdr:col>
      <xdr:colOff>339587</xdr:colOff>
      <xdr:row>16</xdr:row>
      <xdr:rowOff>173935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231913</xdr:colOff>
      <xdr:row>18</xdr:row>
      <xdr:rowOff>124238</xdr:rowOff>
    </xdr:from>
    <xdr:to>
      <xdr:col>17</xdr:col>
      <xdr:colOff>331305</xdr:colOff>
      <xdr:row>32</xdr:row>
      <xdr:rowOff>57977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239841</xdr:colOff>
      <xdr:row>34</xdr:row>
      <xdr:rowOff>16565</xdr:rowOff>
    </xdr:from>
    <xdr:to>
      <xdr:col>17</xdr:col>
      <xdr:colOff>331305</xdr:colOff>
      <xdr:row>48</xdr:row>
      <xdr:rowOff>139030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20"/>
  <sheetViews>
    <sheetView showGridLines="0" tabSelected="1" zoomScale="85" zoomScaleNormal="85" workbookViewId="0">
      <selection activeCell="W31" sqref="W31"/>
    </sheetView>
  </sheetViews>
  <sheetFormatPr defaultRowHeight="15" customHeight="1" x14ac:dyDescent="0.2"/>
  <cols>
    <col min="1" max="1" width="3.28515625" style="9" customWidth="1"/>
    <col min="2" max="2" width="11.7109375" style="9" customWidth="1"/>
    <col min="3" max="3" width="9.7109375" style="9" customWidth="1"/>
    <col min="4" max="4" width="8.7109375" style="9" customWidth="1"/>
    <col min="5" max="5" width="16" style="9" customWidth="1"/>
    <col min="6" max="7" width="11.7109375" style="9" customWidth="1"/>
    <col min="8" max="8" width="10.85546875" style="7" customWidth="1"/>
    <col min="9" max="9" width="6.140625" style="9" customWidth="1"/>
    <col min="10" max="10" width="6.28515625" style="9" customWidth="1"/>
    <col min="11" max="11" width="8.140625" style="9" customWidth="1"/>
    <col min="12" max="12" width="13.28515625" style="9" customWidth="1"/>
    <col min="13" max="13" width="6.140625" style="9" customWidth="1"/>
    <col min="14" max="18" width="9.140625" style="9"/>
    <col min="19" max="19" width="4.85546875" style="9" customWidth="1"/>
    <col min="20" max="20" width="20.5703125" style="9" customWidth="1"/>
    <col min="21" max="16384" width="9.140625" style="9"/>
  </cols>
  <sheetData>
    <row r="1" spans="2:21" ht="15" customHeight="1" x14ac:dyDescent="0.25">
      <c r="B1" s="46" t="s">
        <v>124</v>
      </c>
      <c r="C1" s="46"/>
      <c r="D1" s="46"/>
      <c r="E1" s="46"/>
      <c r="F1" s="46"/>
      <c r="G1" s="46"/>
      <c r="H1" s="46"/>
      <c r="I1" s="11"/>
      <c r="J1" s="12"/>
    </row>
    <row r="2" spans="2:21" ht="15" customHeight="1" x14ac:dyDescent="0.25">
      <c r="B2" s="46" t="s">
        <v>125</v>
      </c>
      <c r="C2" s="46"/>
      <c r="D2" s="46"/>
      <c r="E2" s="46"/>
      <c r="F2" s="46"/>
      <c r="G2" s="46"/>
      <c r="H2" s="46"/>
      <c r="I2" s="11"/>
      <c r="J2" s="12"/>
    </row>
    <row r="4" spans="2:21" ht="15" customHeight="1" x14ac:dyDescent="0.25">
      <c r="B4" s="32" t="s">
        <v>0</v>
      </c>
      <c r="C4" s="32" t="s">
        <v>1</v>
      </c>
      <c r="D4" s="32" t="s">
        <v>2</v>
      </c>
      <c r="E4" s="32" t="s">
        <v>10</v>
      </c>
      <c r="F4" s="32" t="s">
        <v>11</v>
      </c>
      <c r="G4" s="32" t="s">
        <v>12</v>
      </c>
      <c r="H4" s="33" t="s">
        <v>23</v>
      </c>
      <c r="J4" s="13"/>
      <c r="K4" s="13"/>
      <c r="T4" s="14" t="s">
        <v>7</v>
      </c>
      <c r="U4" s="15" t="s">
        <v>38</v>
      </c>
    </row>
    <row r="5" spans="2:21" ht="15" customHeight="1" x14ac:dyDescent="0.2">
      <c r="B5" s="34">
        <v>2020</v>
      </c>
      <c r="C5" s="34">
        <v>5</v>
      </c>
      <c r="D5" s="34" t="s">
        <v>15</v>
      </c>
      <c r="E5" s="34" t="s">
        <v>81</v>
      </c>
      <c r="F5" s="35">
        <v>43961</v>
      </c>
      <c r="G5" s="35">
        <v>43968</v>
      </c>
      <c r="H5" s="36">
        <v>155</v>
      </c>
      <c r="I5" s="9" t="s">
        <v>54</v>
      </c>
      <c r="J5" s="13"/>
      <c r="K5" s="13">
        <v>1</v>
      </c>
      <c r="T5" s="16" t="s">
        <v>42</v>
      </c>
      <c r="U5" s="16">
        <f>COUNTIF(C:C,K5)</f>
        <v>0</v>
      </c>
    </row>
    <row r="6" spans="2:21" ht="15" customHeight="1" x14ac:dyDescent="0.2">
      <c r="B6" s="31">
        <v>2020</v>
      </c>
      <c r="C6" s="31">
        <v>6</v>
      </c>
      <c r="D6" s="31" t="s">
        <v>17</v>
      </c>
      <c r="E6" s="31" t="s">
        <v>82</v>
      </c>
      <c r="F6" s="37">
        <v>43993</v>
      </c>
      <c r="G6" s="37">
        <v>43994</v>
      </c>
      <c r="H6" s="38">
        <v>65</v>
      </c>
      <c r="I6" s="9" t="s">
        <v>54</v>
      </c>
      <c r="J6" s="13"/>
      <c r="K6" s="13">
        <v>2</v>
      </c>
      <c r="T6" s="16" t="s">
        <v>43</v>
      </c>
      <c r="U6" s="16">
        <f>COUNTIF(C:C,K6)</f>
        <v>1</v>
      </c>
    </row>
    <row r="7" spans="2:21" ht="15" customHeight="1" x14ac:dyDescent="0.2">
      <c r="B7" s="34">
        <v>2020</v>
      </c>
      <c r="C7" s="34">
        <v>7</v>
      </c>
      <c r="D7" s="34" t="s">
        <v>18</v>
      </c>
      <c r="E7" s="34" t="s">
        <v>104</v>
      </c>
      <c r="F7" s="35">
        <v>44025</v>
      </c>
      <c r="G7" s="35">
        <v>44026</v>
      </c>
      <c r="H7" s="36">
        <v>45</v>
      </c>
      <c r="I7" s="9" t="s">
        <v>54</v>
      </c>
      <c r="J7" s="13"/>
      <c r="K7" s="13">
        <v>3</v>
      </c>
      <c r="T7" s="16" t="s">
        <v>44</v>
      </c>
      <c r="U7" s="16">
        <f>COUNTIF(C:C,K7)</f>
        <v>0</v>
      </c>
    </row>
    <row r="8" spans="2:21" ht="15" customHeight="1" x14ac:dyDescent="0.2">
      <c r="B8" s="31">
        <v>2020</v>
      </c>
      <c r="C8" s="31">
        <v>7</v>
      </c>
      <c r="D8" s="31" t="s">
        <v>16</v>
      </c>
      <c r="E8" s="31" t="s">
        <v>83</v>
      </c>
      <c r="F8" s="37">
        <v>44043</v>
      </c>
      <c r="G8" s="37">
        <v>44046</v>
      </c>
      <c r="H8" s="38">
        <v>95</v>
      </c>
      <c r="I8" s="9" t="s">
        <v>54</v>
      </c>
      <c r="J8" s="13"/>
      <c r="K8" s="13">
        <v>4</v>
      </c>
      <c r="T8" s="16" t="s">
        <v>45</v>
      </c>
      <c r="U8" s="16">
        <f>COUNTIF(C:C,K8)</f>
        <v>4</v>
      </c>
    </row>
    <row r="9" spans="2:21" ht="15" customHeight="1" x14ac:dyDescent="0.2">
      <c r="B9" s="34">
        <v>2020</v>
      </c>
      <c r="C9" s="34">
        <v>8</v>
      </c>
      <c r="D9" s="34" t="s">
        <v>17</v>
      </c>
      <c r="E9" s="34" t="s">
        <v>84</v>
      </c>
      <c r="F9" s="35">
        <v>44051</v>
      </c>
      <c r="G9" s="35">
        <v>44052</v>
      </c>
      <c r="H9" s="36">
        <v>75</v>
      </c>
      <c r="I9" s="9" t="s">
        <v>54</v>
      </c>
      <c r="J9" s="13"/>
      <c r="K9" s="13">
        <v>5</v>
      </c>
      <c r="T9" s="16" t="s">
        <v>8</v>
      </c>
      <c r="U9" s="16">
        <f>COUNTIF(C:C,K9)</f>
        <v>5</v>
      </c>
    </row>
    <row r="10" spans="2:21" ht="15" customHeight="1" x14ac:dyDescent="0.2">
      <c r="B10" s="31">
        <v>2020</v>
      </c>
      <c r="C10" s="31">
        <v>8</v>
      </c>
      <c r="D10" s="31" t="s">
        <v>18</v>
      </c>
      <c r="E10" s="31" t="s">
        <v>105</v>
      </c>
      <c r="F10" s="37">
        <v>44052</v>
      </c>
      <c r="G10" s="37">
        <v>44053</v>
      </c>
      <c r="H10" s="38">
        <v>55</v>
      </c>
      <c r="I10" s="9" t="s">
        <v>54</v>
      </c>
      <c r="J10" s="13"/>
      <c r="K10" s="13">
        <v>6</v>
      </c>
      <c r="T10" s="16" t="s">
        <v>46</v>
      </c>
      <c r="U10" s="16">
        <f>COUNTIF(C:C,K10)</f>
        <v>4</v>
      </c>
    </row>
    <row r="11" spans="2:21" ht="15" customHeight="1" x14ac:dyDescent="0.2">
      <c r="B11" s="34">
        <v>2020</v>
      </c>
      <c r="C11" s="34">
        <v>8</v>
      </c>
      <c r="D11" s="34" t="s">
        <v>18</v>
      </c>
      <c r="E11" s="34" t="s">
        <v>85</v>
      </c>
      <c r="F11" s="35">
        <v>44056</v>
      </c>
      <c r="G11" s="35">
        <v>44056</v>
      </c>
      <c r="H11" s="36">
        <v>45</v>
      </c>
      <c r="I11" s="9" t="s">
        <v>54</v>
      </c>
      <c r="J11" s="13"/>
      <c r="K11" s="13">
        <v>7</v>
      </c>
      <c r="T11" s="16" t="s">
        <v>47</v>
      </c>
      <c r="U11" s="16">
        <f>COUNTIF(C:C,K11)</f>
        <v>10</v>
      </c>
    </row>
    <row r="12" spans="2:21" ht="15" customHeight="1" x14ac:dyDescent="0.2">
      <c r="B12" s="31">
        <v>2020</v>
      </c>
      <c r="C12" s="31">
        <v>8</v>
      </c>
      <c r="D12" s="31" t="s">
        <v>18</v>
      </c>
      <c r="E12" s="31" t="s">
        <v>56</v>
      </c>
      <c r="F12" s="37">
        <v>44060</v>
      </c>
      <c r="G12" s="37">
        <v>44061</v>
      </c>
      <c r="H12" s="38">
        <v>45</v>
      </c>
      <c r="I12" s="9" t="s">
        <v>54</v>
      </c>
      <c r="J12" s="13"/>
      <c r="K12" s="13">
        <v>8</v>
      </c>
      <c r="T12" s="16" t="s">
        <v>48</v>
      </c>
      <c r="U12" s="16">
        <f>COUNTIF(C:C,K12)</f>
        <v>15</v>
      </c>
    </row>
    <row r="13" spans="2:21" ht="15" customHeight="1" x14ac:dyDescent="0.2">
      <c r="B13" s="34">
        <v>2020</v>
      </c>
      <c r="C13" s="34">
        <v>8</v>
      </c>
      <c r="D13" s="34" t="s">
        <v>16</v>
      </c>
      <c r="E13" s="34" t="s">
        <v>86</v>
      </c>
      <c r="F13" s="35">
        <v>44064</v>
      </c>
      <c r="G13" s="35">
        <v>44065</v>
      </c>
      <c r="H13" s="36">
        <v>100</v>
      </c>
      <c r="I13" s="9" t="s">
        <v>54</v>
      </c>
      <c r="J13" s="13"/>
      <c r="K13" s="13">
        <v>9</v>
      </c>
      <c r="T13" s="16" t="s">
        <v>49</v>
      </c>
      <c r="U13" s="16">
        <f>COUNTIF(C:C,K13)</f>
        <v>17</v>
      </c>
    </row>
    <row r="14" spans="2:21" ht="15" customHeight="1" x14ac:dyDescent="0.2">
      <c r="B14" s="31">
        <v>2020</v>
      </c>
      <c r="C14" s="31">
        <v>8</v>
      </c>
      <c r="D14" s="31" t="s">
        <v>15</v>
      </c>
      <c r="E14" s="31" t="s">
        <v>87</v>
      </c>
      <c r="F14" s="37">
        <v>44071</v>
      </c>
      <c r="G14" s="37">
        <v>44074</v>
      </c>
      <c r="H14" s="38">
        <v>150</v>
      </c>
      <c r="I14" s="9" t="s">
        <v>54</v>
      </c>
      <c r="J14" s="13"/>
      <c r="K14" s="13">
        <v>10</v>
      </c>
      <c r="T14" s="16" t="s">
        <v>50</v>
      </c>
      <c r="U14" s="16">
        <f>COUNTIF(C:C,K14)</f>
        <v>15</v>
      </c>
    </row>
    <row r="15" spans="2:21" ht="15" customHeight="1" x14ac:dyDescent="0.2">
      <c r="B15" s="34">
        <v>2020</v>
      </c>
      <c r="C15" s="34">
        <v>9</v>
      </c>
      <c r="D15" s="34" t="s">
        <v>14</v>
      </c>
      <c r="E15" s="34" t="s">
        <v>114</v>
      </c>
      <c r="F15" s="35">
        <v>44078</v>
      </c>
      <c r="G15" s="35">
        <v>44079</v>
      </c>
      <c r="H15" s="36">
        <v>195</v>
      </c>
      <c r="I15" s="9" t="s">
        <v>54</v>
      </c>
      <c r="J15" s="13"/>
      <c r="K15" s="13">
        <v>11</v>
      </c>
      <c r="T15" s="16" t="s">
        <v>51</v>
      </c>
      <c r="U15" s="16">
        <f>COUNTIF(C:C,K15)</f>
        <v>7</v>
      </c>
    </row>
    <row r="16" spans="2:21" ht="15" customHeight="1" x14ac:dyDescent="0.2">
      <c r="B16" s="31">
        <v>2020</v>
      </c>
      <c r="C16" s="31">
        <v>9</v>
      </c>
      <c r="D16" s="31" t="s">
        <v>17</v>
      </c>
      <c r="E16" s="31" t="s">
        <v>115</v>
      </c>
      <c r="F16" s="37">
        <v>44089</v>
      </c>
      <c r="G16" s="37">
        <v>44091</v>
      </c>
      <c r="H16" s="38">
        <v>85</v>
      </c>
      <c r="I16" s="9" t="s">
        <v>54</v>
      </c>
      <c r="J16" s="13"/>
      <c r="K16" s="13">
        <v>12</v>
      </c>
      <c r="T16" s="16" t="s">
        <v>52</v>
      </c>
      <c r="U16" s="16">
        <f>COUNTIF(C:C,K16)</f>
        <v>6</v>
      </c>
    </row>
    <row r="17" spans="2:21" ht="15" customHeight="1" x14ac:dyDescent="0.25">
      <c r="B17" s="34">
        <v>2020</v>
      </c>
      <c r="C17" s="34">
        <v>9</v>
      </c>
      <c r="D17" s="34" t="s">
        <v>18</v>
      </c>
      <c r="E17" s="34" t="s">
        <v>88</v>
      </c>
      <c r="F17" s="35">
        <v>44094</v>
      </c>
      <c r="G17" s="35">
        <v>44095</v>
      </c>
      <c r="H17" s="36">
        <v>55</v>
      </c>
      <c r="I17" s="9" t="s">
        <v>54</v>
      </c>
      <c r="J17" s="13"/>
      <c r="K17" s="13"/>
      <c r="T17" s="17" t="s">
        <v>9</v>
      </c>
      <c r="U17" s="17">
        <f>SUM(U5:U16)</f>
        <v>84</v>
      </c>
    </row>
    <row r="18" spans="2:21" ht="15" customHeight="1" x14ac:dyDescent="0.2">
      <c r="B18" s="31">
        <v>2020</v>
      </c>
      <c r="C18" s="31">
        <v>10</v>
      </c>
      <c r="D18" s="31" t="s">
        <v>18</v>
      </c>
      <c r="E18" s="31" t="s">
        <v>116</v>
      </c>
      <c r="F18" s="37">
        <v>44115</v>
      </c>
      <c r="G18" s="37">
        <v>44116</v>
      </c>
      <c r="H18" s="38">
        <v>55</v>
      </c>
      <c r="I18" s="9" t="s">
        <v>54</v>
      </c>
      <c r="J18" s="13"/>
      <c r="K18" s="13"/>
    </row>
    <row r="19" spans="2:21" ht="15" customHeight="1" x14ac:dyDescent="0.2">
      <c r="B19" s="34">
        <v>2020</v>
      </c>
      <c r="C19" s="34">
        <v>10</v>
      </c>
      <c r="D19" s="34" t="s">
        <v>18</v>
      </c>
      <c r="E19" s="34" t="s">
        <v>89</v>
      </c>
      <c r="F19" s="35">
        <v>44117</v>
      </c>
      <c r="G19" s="35">
        <v>44120</v>
      </c>
      <c r="H19" s="36">
        <v>45</v>
      </c>
      <c r="I19" s="9" t="s">
        <v>54</v>
      </c>
      <c r="J19" s="13"/>
      <c r="K19" s="13"/>
    </row>
    <row r="20" spans="2:21" ht="15" customHeight="1" x14ac:dyDescent="0.25">
      <c r="B20" s="31">
        <v>2020</v>
      </c>
      <c r="C20" s="31">
        <v>10</v>
      </c>
      <c r="D20" s="31" t="s">
        <v>15</v>
      </c>
      <c r="E20" s="31" t="s">
        <v>117</v>
      </c>
      <c r="F20" s="37">
        <v>44123</v>
      </c>
      <c r="G20" s="37">
        <v>44126</v>
      </c>
      <c r="H20" s="38">
        <v>120</v>
      </c>
      <c r="I20" s="9" t="s">
        <v>54</v>
      </c>
      <c r="J20" s="13"/>
      <c r="K20" s="13"/>
      <c r="T20" s="17" t="s">
        <v>13</v>
      </c>
      <c r="U20" s="17" t="s">
        <v>38</v>
      </c>
    </row>
    <row r="21" spans="2:21" ht="15" customHeight="1" x14ac:dyDescent="0.2">
      <c r="B21" s="34">
        <v>2020</v>
      </c>
      <c r="C21" s="34">
        <v>10</v>
      </c>
      <c r="D21" s="34" t="s">
        <v>15</v>
      </c>
      <c r="E21" s="34" t="s">
        <v>90</v>
      </c>
      <c r="F21" s="35">
        <v>44127</v>
      </c>
      <c r="G21" s="35">
        <v>44131</v>
      </c>
      <c r="H21" s="36">
        <v>150</v>
      </c>
      <c r="I21" s="9" t="s">
        <v>54</v>
      </c>
      <c r="J21" s="13"/>
      <c r="K21" s="13"/>
      <c r="T21" s="18" t="s">
        <v>19</v>
      </c>
      <c r="U21" s="16">
        <f>COUNTIF(D:D,K25)</f>
        <v>23</v>
      </c>
    </row>
    <row r="22" spans="2:21" ht="15" customHeight="1" x14ac:dyDescent="0.2">
      <c r="B22" s="31">
        <v>2020</v>
      </c>
      <c r="C22" s="31">
        <v>10</v>
      </c>
      <c r="D22" s="31" t="s">
        <v>14</v>
      </c>
      <c r="E22" s="31" t="s">
        <v>91</v>
      </c>
      <c r="F22" s="37">
        <v>44133</v>
      </c>
      <c r="G22" s="37">
        <v>44138</v>
      </c>
      <c r="H22" s="38">
        <v>225</v>
      </c>
      <c r="I22" s="9" t="s">
        <v>54</v>
      </c>
      <c r="J22" s="13"/>
      <c r="K22" s="13"/>
      <c r="T22" s="18" t="s">
        <v>20</v>
      </c>
      <c r="U22" s="16">
        <f>COUNTIF(D:D,K26)</f>
        <v>17</v>
      </c>
    </row>
    <row r="23" spans="2:21" ht="15" customHeight="1" x14ac:dyDescent="0.2">
      <c r="B23" s="34">
        <v>2020</v>
      </c>
      <c r="C23" s="34">
        <v>11</v>
      </c>
      <c r="D23" s="34" t="s">
        <v>16</v>
      </c>
      <c r="E23" s="34" t="s">
        <v>92</v>
      </c>
      <c r="F23" s="35">
        <v>44136</v>
      </c>
      <c r="G23" s="35">
        <v>44142</v>
      </c>
      <c r="H23" s="36">
        <v>100</v>
      </c>
      <c r="I23" s="9" t="s">
        <v>54</v>
      </c>
      <c r="J23" s="13"/>
      <c r="K23" s="13"/>
      <c r="T23" s="29" t="s">
        <v>21</v>
      </c>
      <c r="U23" s="16">
        <f>COUNTIF(D:D,K27)</f>
        <v>11</v>
      </c>
    </row>
    <row r="24" spans="2:21" ht="15" customHeight="1" x14ac:dyDescent="0.2">
      <c r="B24" s="31">
        <v>2020</v>
      </c>
      <c r="C24" s="31">
        <v>11</v>
      </c>
      <c r="D24" s="31" t="s">
        <v>17</v>
      </c>
      <c r="E24" s="31" t="s">
        <v>93</v>
      </c>
      <c r="F24" s="37">
        <v>44142</v>
      </c>
      <c r="G24" s="37">
        <v>44144</v>
      </c>
      <c r="H24" s="38">
        <v>65</v>
      </c>
      <c r="I24" s="9" t="s">
        <v>54</v>
      </c>
      <c r="J24" s="13"/>
      <c r="K24" s="13"/>
      <c r="T24" s="18" t="s">
        <v>22</v>
      </c>
      <c r="U24" s="16">
        <f>COUNTIF(D:D,K28)</f>
        <v>17</v>
      </c>
    </row>
    <row r="25" spans="2:21" ht="15" customHeight="1" x14ac:dyDescent="0.2">
      <c r="B25" s="34">
        <v>2020</v>
      </c>
      <c r="C25" s="34">
        <v>11</v>
      </c>
      <c r="D25" s="34" t="s">
        <v>15</v>
      </c>
      <c r="E25" s="34" t="s">
        <v>103</v>
      </c>
      <c r="F25" s="35">
        <v>44143</v>
      </c>
      <c r="G25" s="35">
        <v>44148</v>
      </c>
      <c r="H25" s="36">
        <v>155</v>
      </c>
      <c r="I25" s="9" t="s">
        <v>54</v>
      </c>
      <c r="J25" s="13"/>
      <c r="K25" s="19" t="s">
        <v>18</v>
      </c>
      <c r="T25" s="18" t="s">
        <v>53</v>
      </c>
      <c r="U25" s="16">
        <f>COUNTIF(D:D,K29)</f>
        <v>16</v>
      </c>
    </row>
    <row r="26" spans="2:21" ht="15" customHeight="1" x14ac:dyDescent="0.25">
      <c r="B26" s="31">
        <v>2020</v>
      </c>
      <c r="C26" s="31">
        <v>12</v>
      </c>
      <c r="D26" s="31" t="s">
        <v>17</v>
      </c>
      <c r="E26" s="31" t="s">
        <v>118</v>
      </c>
      <c r="F26" s="37">
        <v>44183</v>
      </c>
      <c r="G26" s="37">
        <v>44186</v>
      </c>
      <c r="H26" s="38">
        <v>65</v>
      </c>
      <c r="I26" s="9" t="s">
        <v>54</v>
      </c>
      <c r="J26" s="13"/>
      <c r="K26" s="19" t="s">
        <v>17</v>
      </c>
      <c r="T26" s="17" t="s">
        <v>9</v>
      </c>
      <c r="U26" s="17">
        <f>SUM(U21:U25)</f>
        <v>84</v>
      </c>
    </row>
    <row r="27" spans="2:21" ht="15" customHeight="1" x14ac:dyDescent="0.2">
      <c r="B27" s="34">
        <v>2021</v>
      </c>
      <c r="C27" s="34">
        <v>2</v>
      </c>
      <c r="D27" s="34" t="s">
        <v>16</v>
      </c>
      <c r="E27" s="34" t="s">
        <v>57</v>
      </c>
      <c r="F27" s="35">
        <v>44244</v>
      </c>
      <c r="G27" s="35">
        <v>44249</v>
      </c>
      <c r="H27" s="36">
        <v>95</v>
      </c>
      <c r="I27" s="9" t="s">
        <v>54</v>
      </c>
      <c r="J27" s="13"/>
      <c r="K27" s="19" t="s">
        <v>16</v>
      </c>
    </row>
    <row r="28" spans="2:21" ht="15" customHeight="1" x14ac:dyDescent="0.2">
      <c r="B28" s="31">
        <v>2021</v>
      </c>
      <c r="C28" s="31">
        <v>4</v>
      </c>
      <c r="D28" s="31" t="s">
        <v>14</v>
      </c>
      <c r="E28" s="31" t="s">
        <v>63</v>
      </c>
      <c r="F28" s="37">
        <v>44302</v>
      </c>
      <c r="G28" s="37">
        <v>44311</v>
      </c>
      <c r="H28" s="38">
        <v>215</v>
      </c>
      <c r="I28" s="9" t="s">
        <v>54</v>
      </c>
      <c r="J28" s="13"/>
      <c r="K28" s="19" t="s">
        <v>15</v>
      </c>
    </row>
    <row r="29" spans="2:21" ht="15" customHeight="1" x14ac:dyDescent="0.2">
      <c r="B29" s="34">
        <v>2021</v>
      </c>
      <c r="C29" s="34">
        <v>5</v>
      </c>
      <c r="D29" s="34" t="s">
        <v>17</v>
      </c>
      <c r="E29" s="34" t="s">
        <v>64</v>
      </c>
      <c r="F29" s="35">
        <v>44329</v>
      </c>
      <c r="G29" s="35">
        <v>44330</v>
      </c>
      <c r="H29" s="36">
        <v>65</v>
      </c>
      <c r="I29" s="9" t="s">
        <v>54</v>
      </c>
      <c r="J29" s="13"/>
      <c r="K29" s="19" t="s">
        <v>14</v>
      </c>
    </row>
    <row r="30" spans="2:21" ht="15" customHeight="1" x14ac:dyDescent="0.2">
      <c r="B30" s="31">
        <v>2021</v>
      </c>
      <c r="C30" s="31">
        <v>5</v>
      </c>
      <c r="D30" s="31" t="s">
        <v>17</v>
      </c>
      <c r="E30" s="31" t="s">
        <v>94</v>
      </c>
      <c r="F30" s="37">
        <v>44346</v>
      </c>
      <c r="G30" s="37">
        <v>44352</v>
      </c>
      <c r="H30" s="38">
        <v>75</v>
      </c>
      <c r="I30" s="9" t="s">
        <v>54</v>
      </c>
      <c r="J30" s="13"/>
      <c r="K30" s="13"/>
    </row>
    <row r="31" spans="2:21" ht="15" customHeight="1" x14ac:dyDescent="0.2">
      <c r="B31" s="34">
        <v>2021</v>
      </c>
      <c r="C31" s="34">
        <v>7</v>
      </c>
      <c r="D31" s="34" t="s">
        <v>18</v>
      </c>
      <c r="E31" s="34" t="s">
        <v>65</v>
      </c>
      <c r="F31" s="35">
        <v>44381</v>
      </c>
      <c r="G31" s="35">
        <v>44383</v>
      </c>
      <c r="H31" s="36">
        <v>55</v>
      </c>
      <c r="I31" s="9" t="s">
        <v>54</v>
      </c>
      <c r="J31" s="13"/>
      <c r="K31" s="13"/>
    </row>
    <row r="32" spans="2:21" ht="15" customHeight="1" x14ac:dyDescent="0.2">
      <c r="B32" s="31">
        <v>2021</v>
      </c>
      <c r="C32" s="31">
        <v>7</v>
      </c>
      <c r="D32" s="31" t="s">
        <v>15</v>
      </c>
      <c r="E32" s="31" t="s">
        <v>106</v>
      </c>
      <c r="F32" s="37">
        <v>44393</v>
      </c>
      <c r="G32" s="37">
        <v>44400</v>
      </c>
      <c r="H32" s="38">
        <v>150</v>
      </c>
      <c r="I32" s="9" t="s">
        <v>54</v>
      </c>
      <c r="J32" s="13"/>
      <c r="K32" s="13"/>
    </row>
    <row r="33" spans="2:25" ht="15" customHeight="1" x14ac:dyDescent="0.2">
      <c r="B33" s="34">
        <v>2021</v>
      </c>
      <c r="C33" s="34">
        <v>8</v>
      </c>
      <c r="D33" s="34" t="s">
        <v>18</v>
      </c>
      <c r="E33" s="34" t="s">
        <v>66</v>
      </c>
      <c r="F33" s="35">
        <v>44412</v>
      </c>
      <c r="G33" s="35">
        <v>44412</v>
      </c>
      <c r="H33" s="36">
        <v>45</v>
      </c>
      <c r="I33" s="9" t="s">
        <v>54</v>
      </c>
      <c r="J33" s="13"/>
      <c r="K33" s="13"/>
    </row>
    <row r="34" spans="2:25" ht="15" customHeight="1" x14ac:dyDescent="0.2">
      <c r="B34" s="31">
        <v>2021</v>
      </c>
      <c r="C34" s="31">
        <v>8</v>
      </c>
      <c r="D34" s="31" t="s">
        <v>17</v>
      </c>
      <c r="E34" s="31" t="s">
        <v>59</v>
      </c>
      <c r="F34" s="37">
        <v>44415</v>
      </c>
      <c r="G34" s="37">
        <v>44415</v>
      </c>
      <c r="H34" s="38">
        <v>65</v>
      </c>
      <c r="I34" s="9" t="s">
        <v>54</v>
      </c>
      <c r="J34" s="13"/>
      <c r="K34" s="13"/>
    </row>
    <row r="35" spans="2:25" ht="15" customHeight="1" x14ac:dyDescent="0.2">
      <c r="B35" s="34">
        <v>2021</v>
      </c>
      <c r="C35" s="34">
        <v>8</v>
      </c>
      <c r="D35" s="34" t="s">
        <v>16</v>
      </c>
      <c r="E35" s="34" t="s">
        <v>60</v>
      </c>
      <c r="F35" s="35">
        <v>44427</v>
      </c>
      <c r="G35" s="35">
        <v>44430</v>
      </c>
      <c r="H35" s="36">
        <v>95</v>
      </c>
      <c r="I35" s="9" t="s">
        <v>54</v>
      </c>
      <c r="J35" s="13"/>
      <c r="K35" s="13"/>
      <c r="T35" s="30" t="s">
        <v>0</v>
      </c>
      <c r="U35" s="30" t="s">
        <v>38</v>
      </c>
    </row>
    <row r="36" spans="2:25" ht="15" customHeight="1" x14ac:dyDescent="0.2">
      <c r="B36" s="31">
        <v>2021</v>
      </c>
      <c r="C36" s="31">
        <v>9</v>
      </c>
      <c r="D36" s="31" t="s">
        <v>15</v>
      </c>
      <c r="E36" s="31" t="s">
        <v>67</v>
      </c>
      <c r="F36" s="37">
        <v>44445</v>
      </c>
      <c r="G36" s="37">
        <v>44448</v>
      </c>
      <c r="H36" s="38">
        <v>120</v>
      </c>
      <c r="I36" s="9" t="s">
        <v>54</v>
      </c>
      <c r="T36" s="39">
        <v>2020</v>
      </c>
      <c r="U36" s="39">
        <f>COUNTIF(B:B,T36)</f>
        <v>22</v>
      </c>
    </row>
    <row r="37" spans="2:25" ht="15" customHeight="1" x14ac:dyDescent="0.2">
      <c r="B37" s="34">
        <v>2021</v>
      </c>
      <c r="C37" s="34">
        <v>9</v>
      </c>
      <c r="D37" s="34" t="s">
        <v>14</v>
      </c>
      <c r="E37" s="34" t="s">
        <v>68</v>
      </c>
      <c r="F37" s="35">
        <v>44446</v>
      </c>
      <c r="G37" s="35">
        <v>44451</v>
      </c>
      <c r="H37" s="36">
        <v>215</v>
      </c>
      <c r="I37" s="9" t="s">
        <v>54</v>
      </c>
      <c r="T37" s="40">
        <v>2021</v>
      </c>
      <c r="U37" s="40">
        <f>COUNTIF(B:B,T37)</f>
        <v>15</v>
      </c>
    </row>
    <row r="38" spans="2:25" ht="15" customHeight="1" x14ac:dyDescent="0.2">
      <c r="B38" s="31">
        <v>2021</v>
      </c>
      <c r="C38" s="31">
        <v>10</v>
      </c>
      <c r="D38" s="31" t="s">
        <v>18</v>
      </c>
      <c r="E38" s="31" t="s">
        <v>110</v>
      </c>
      <c r="F38" s="37">
        <v>44473</v>
      </c>
      <c r="G38" s="37">
        <v>44475</v>
      </c>
      <c r="H38" s="38">
        <v>45</v>
      </c>
      <c r="I38" s="9" t="s">
        <v>54</v>
      </c>
      <c r="T38" s="16">
        <v>2022</v>
      </c>
      <c r="U38" s="16">
        <f>COUNTIF(B:B,T38)</f>
        <v>18</v>
      </c>
      <c r="X38" s="28"/>
      <c r="Y38" s="28"/>
    </row>
    <row r="39" spans="2:25" ht="15" customHeight="1" x14ac:dyDescent="0.2">
      <c r="B39" s="34">
        <v>2021</v>
      </c>
      <c r="C39" s="34">
        <v>10</v>
      </c>
      <c r="D39" s="34" t="s">
        <v>16</v>
      </c>
      <c r="E39" s="34" t="s">
        <v>61</v>
      </c>
      <c r="F39" s="35">
        <v>44476</v>
      </c>
      <c r="G39" s="35">
        <v>44481</v>
      </c>
      <c r="H39" s="36">
        <v>100</v>
      </c>
      <c r="I39" s="9" t="s">
        <v>54</v>
      </c>
      <c r="T39" s="16">
        <v>2023</v>
      </c>
      <c r="U39" s="16">
        <f>COUNTIF(B:B,T39)</f>
        <v>11</v>
      </c>
      <c r="X39" s="28"/>
      <c r="Y39" s="28"/>
    </row>
    <row r="40" spans="2:25" ht="15" customHeight="1" x14ac:dyDescent="0.2">
      <c r="B40" s="31">
        <v>2021</v>
      </c>
      <c r="C40" s="31">
        <v>10</v>
      </c>
      <c r="D40" s="31" t="s">
        <v>18</v>
      </c>
      <c r="E40" s="31" t="s">
        <v>95</v>
      </c>
      <c r="F40" s="37">
        <v>44477</v>
      </c>
      <c r="G40" s="37">
        <v>44478</v>
      </c>
      <c r="H40" s="38">
        <v>55</v>
      </c>
      <c r="I40" s="9" t="s">
        <v>54</v>
      </c>
      <c r="T40" s="16">
        <v>2024</v>
      </c>
      <c r="U40" s="16">
        <f>COUNTIF(B:B,T40)</f>
        <v>18</v>
      </c>
      <c r="X40" s="28"/>
      <c r="Y40" s="28"/>
    </row>
    <row r="41" spans="2:25" ht="15" customHeight="1" x14ac:dyDescent="0.2">
      <c r="B41" s="34">
        <v>2021</v>
      </c>
      <c r="C41" s="34">
        <v>12</v>
      </c>
      <c r="D41" s="34" t="s">
        <v>14</v>
      </c>
      <c r="E41" s="34" t="s">
        <v>107</v>
      </c>
      <c r="F41" s="35">
        <v>44544</v>
      </c>
      <c r="G41" s="35">
        <v>44548</v>
      </c>
      <c r="H41" s="36">
        <v>195</v>
      </c>
      <c r="I41" s="9" t="s">
        <v>54</v>
      </c>
    </row>
    <row r="42" spans="2:25" ht="15" customHeight="1" x14ac:dyDescent="0.2">
      <c r="B42" s="31">
        <v>2022</v>
      </c>
      <c r="C42" s="31">
        <v>4</v>
      </c>
      <c r="D42" s="31" t="s">
        <v>17</v>
      </c>
      <c r="E42" s="31" t="s">
        <v>69</v>
      </c>
      <c r="F42" s="37">
        <v>44660</v>
      </c>
      <c r="G42" s="37">
        <v>44663</v>
      </c>
      <c r="H42" s="38">
        <v>75</v>
      </c>
      <c r="I42" s="9" t="s">
        <v>54</v>
      </c>
    </row>
    <row r="43" spans="2:25" ht="15" customHeight="1" x14ac:dyDescent="0.2">
      <c r="B43" s="34">
        <v>2022</v>
      </c>
      <c r="C43" s="34">
        <v>4</v>
      </c>
      <c r="D43" s="34" t="s">
        <v>15</v>
      </c>
      <c r="E43" s="34" t="s">
        <v>70</v>
      </c>
      <c r="F43" s="35">
        <v>44663</v>
      </c>
      <c r="G43" s="35">
        <v>44663</v>
      </c>
      <c r="H43" s="36">
        <v>120</v>
      </c>
      <c r="I43" s="9" t="s">
        <v>54</v>
      </c>
    </row>
    <row r="44" spans="2:25" ht="15" customHeight="1" x14ac:dyDescent="0.2">
      <c r="B44" s="31">
        <v>2022</v>
      </c>
      <c r="C44" s="31">
        <v>6</v>
      </c>
      <c r="D44" s="31" t="s">
        <v>18</v>
      </c>
      <c r="E44" s="31" t="s">
        <v>71</v>
      </c>
      <c r="F44" s="37">
        <v>44740</v>
      </c>
      <c r="G44" s="37">
        <v>44742</v>
      </c>
      <c r="H44" s="38">
        <v>55</v>
      </c>
      <c r="I44" s="9" t="s">
        <v>54</v>
      </c>
    </row>
    <row r="45" spans="2:25" ht="15" customHeight="1" x14ac:dyDescent="0.2">
      <c r="B45" s="34">
        <v>2022</v>
      </c>
      <c r="C45" s="34">
        <v>6</v>
      </c>
      <c r="D45" s="34" t="s">
        <v>17</v>
      </c>
      <c r="E45" s="34" t="s">
        <v>96</v>
      </c>
      <c r="F45" s="35">
        <v>44742</v>
      </c>
      <c r="G45" s="35">
        <v>44744</v>
      </c>
      <c r="H45" s="36">
        <v>85</v>
      </c>
      <c r="I45" s="9" t="s">
        <v>54</v>
      </c>
    </row>
    <row r="46" spans="2:25" ht="15" customHeight="1" x14ac:dyDescent="0.2">
      <c r="B46" s="31">
        <v>2022</v>
      </c>
      <c r="C46" s="31">
        <v>7</v>
      </c>
      <c r="D46" s="31" t="s">
        <v>18</v>
      </c>
      <c r="E46" s="31" t="s">
        <v>97</v>
      </c>
      <c r="F46" s="37">
        <v>44771</v>
      </c>
      <c r="G46" s="37">
        <v>44773</v>
      </c>
      <c r="H46" s="38">
        <v>45</v>
      </c>
      <c r="I46" s="9" t="s">
        <v>54</v>
      </c>
    </row>
    <row r="47" spans="2:25" ht="15" customHeight="1" x14ac:dyDescent="0.2">
      <c r="B47" s="34">
        <v>2022</v>
      </c>
      <c r="C47" s="34">
        <v>8</v>
      </c>
      <c r="D47" s="34" t="s">
        <v>16</v>
      </c>
      <c r="E47" s="34" t="s">
        <v>72</v>
      </c>
      <c r="F47" s="35">
        <v>44794</v>
      </c>
      <c r="G47" s="35">
        <v>44797</v>
      </c>
      <c r="H47" s="36">
        <v>110</v>
      </c>
      <c r="I47" s="9" t="s">
        <v>54</v>
      </c>
    </row>
    <row r="48" spans="2:25" ht="15" customHeight="1" x14ac:dyDescent="0.2">
      <c r="B48" s="31">
        <v>2022</v>
      </c>
      <c r="C48" s="31">
        <v>8</v>
      </c>
      <c r="D48" s="31" t="s">
        <v>18</v>
      </c>
      <c r="E48" s="31" t="s">
        <v>111</v>
      </c>
      <c r="F48" s="37">
        <v>44803</v>
      </c>
      <c r="G48" s="37">
        <v>44805</v>
      </c>
      <c r="H48" s="38">
        <v>55</v>
      </c>
      <c r="I48" s="9" t="s">
        <v>54</v>
      </c>
    </row>
    <row r="49" spans="2:9" ht="15" customHeight="1" x14ac:dyDescent="0.2">
      <c r="B49" s="34">
        <v>2022</v>
      </c>
      <c r="C49" s="34">
        <v>8</v>
      </c>
      <c r="D49" s="34" t="s">
        <v>14</v>
      </c>
      <c r="E49" s="34" t="s">
        <v>98</v>
      </c>
      <c r="F49" s="35">
        <v>44804</v>
      </c>
      <c r="G49" s="35">
        <v>44808</v>
      </c>
      <c r="H49" s="36">
        <v>195</v>
      </c>
      <c r="I49" s="9" t="s">
        <v>54</v>
      </c>
    </row>
    <row r="50" spans="2:9" ht="15" customHeight="1" x14ac:dyDescent="0.2">
      <c r="B50" s="31">
        <v>2022</v>
      </c>
      <c r="C50" s="31">
        <v>9</v>
      </c>
      <c r="D50" s="31" t="s">
        <v>15</v>
      </c>
      <c r="E50" s="31" t="s">
        <v>73</v>
      </c>
      <c r="F50" s="37">
        <v>44811</v>
      </c>
      <c r="G50" s="37">
        <v>44817</v>
      </c>
      <c r="H50" s="38">
        <v>165</v>
      </c>
      <c r="I50" s="9" t="s">
        <v>54</v>
      </c>
    </row>
    <row r="51" spans="2:9" ht="15" customHeight="1" x14ac:dyDescent="0.2">
      <c r="B51" s="34">
        <v>2022</v>
      </c>
      <c r="C51" s="34">
        <v>9</v>
      </c>
      <c r="D51" s="34" t="s">
        <v>14</v>
      </c>
      <c r="E51" s="34" t="s">
        <v>112</v>
      </c>
      <c r="F51" s="35">
        <v>44820</v>
      </c>
      <c r="G51" s="35">
        <v>44820</v>
      </c>
      <c r="H51" s="36">
        <v>185</v>
      </c>
      <c r="I51" s="9" t="s">
        <v>54</v>
      </c>
    </row>
    <row r="52" spans="2:9" ht="15" customHeight="1" x14ac:dyDescent="0.2">
      <c r="B52" s="31">
        <v>2022</v>
      </c>
      <c r="C52" s="31">
        <v>9</v>
      </c>
      <c r="D52" s="31" t="s">
        <v>14</v>
      </c>
      <c r="E52" s="31" t="s">
        <v>108</v>
      </c>
      <c r="F52" s="37">
        <v>44826</v>
      </c>
      <c r="G52" s="37">
        <v>44830</v>
      </c>
      <c r="H52" s="38">
        <v>195</v>
      </c>
      <c r="I52" s="9" t="s">
        <v>54</v>
      </c>
    </row>
    <row r="53" spans="2:9" ht="15" customHeight="1" x14ac:dyDescent="0.2">
      <c r="B53" s="34">
        <v>2022</v>
      </c>
      <c r="C53" s="34">
        <v>9</v>
      </c>
      <c r="D53" s="34" t="s">
        <v>16</v>
      </c>
      <c r="E53" s="34" t="s">
        <v>99</v>
      </c>
      <c r="F53" s="35">
        <v>44832</v>
      </c>
      <c r="G53" s="35">
        <v>44833</v>
      </c>
      <c r="H53" s="36">
        <v>100</v>
      </c>
      <c r="I53" s="9" t="s">
        <v>54</v>
      </c>
    </row>
    <row r="54" spans="2:9" ht="15" customHeight="1" x14ac:dyDescent="0.2">
      <c r="B54" s="31">
        <v>2022</v>
      </c>
      <c r="C54" s="31">
        <v>10</v>
      </c>
      <c r="D54" s="31" t="s">
        <v>18</v>
      </c>
      <c r="E54" s="31" t="s">
        <v>113</v>
      </c>
      <c r="F54" s="37">
        <v>44844</v>
      </c>
      <c r="G54" s="37">
        <v>44846</v>
      </c>
      <c r="H54" s="38">
        <v>45</v>
      </c>
      <c r="I54" s="9" t="s">
        <v>54</v>
      </c>
    </row>
    <row r="55" spans="2:9" ht="15" customHeight="1" x14ac:dyDescent="0.2">
      <c r="B55" s="34">
        <v>2022</v>
      </c>
      <c r="C55" s="34">
        <v>10</v>
      </c>
      <c r="D55" s="34" t="s">
        <v>15</v>
      </c>
      <c r="E55" s="34" t="s">
        <v>58</v>
      </c>
      <c r="F55" s="35">
        <v>44847</v>
      </c>
      <c r="G55" s="35">
        <v>44850</v>
      </c>
      <c r="H55" s="36">
        <v>120</v>
      </c>
      <c r="I55" s="9" t="s">
        <v>54</v>
      </c>
    </row>
    <row r="56" spans="2:9" ht="15" customHeight="1" x14ac:dyDescent="0.2">
      <c r="B56" s="31">
        <v>2022</v>
      </c>
      <c r="C56" s="31">
        <v>10</v>
      </c>
      <c r="D56" s="31" t="s">
        <v>18</v>
      </c>
      <c r="E56" s="31" t="s">
        <v>119</v>
      </c>
      <c r="F56" s="37">
        <v>44853</v>
      </c>
      <c r="G56" s="37">
        <v>44856</v>
      </c>
      <c r="H56" s="38">
        <v>55</v>
      </c>
      <c r="I56" s="9" t="s">
        <v>54</v>
      </c>
    </row>
    <row r="57" spans="2:9" ht="15" customHeight="1" x14ac:dyDescent="0.2">
      <c r="B57" s="34">
        <v>2022</v>
      </c>
      <c r="C57" s="34">
        <v>10</v>
      </c>
      <c r="D57" s="34" t="s">
        <v>16</v>
      </c>
      <c r="E57" s="34" t="s">
        <v>100</v>
      </c>
      <c r="F57" s="35">
        <v>44860</v>
      </c>
      <c r="G57" s="35">
        <v>44865</v>
      </c>
      <c r="H57" s="36">
        <v>110</v>
      </c>
      <c r="I57" s="9" t="s">
        <v>54</v>
      </c>
    </row>
    <row r="58" spans="2:9" ht="15" customHeight="1" x14ac:dyDescent="0.2">
      <c r="B58" s="31">
        <v>2022</v>
      </c>
      <c r="C58" s="31">
        <v>10</v>
      </c>
      <c r="D58" s="31" t="s">
        <v>17</v>
      </c>
      <c r="E58" s="31" t="s">
        <v>101</v>
      </c>
      <c r="F58" s="37">
        <v>44865</v>
      </c>
      <c r="G58" s="37">
        <v>44866</v>
      </c>
      <c r="H58" s="38">
        <v>65</v>
      </c>
      <c r="I58" s="9" t="s">
        <v>54</v>
      </c>
    </row>
    <row r="59" spans="2:9" ht="15" customHeight="1" x14ac:dyDescent="0.2">
      <c r="B59" s="34">
        <v>2022</v>
      </c>
      <c r="C59" s="34">
        <v>12</v>
      </c>
      <c r="D59" s="34" t="s">
        <v>17</v>
      </c>
      <c r="E59" s="34" t="s">
        <v>120</v>
      </c>
      <c r="F59" s="35">
        <v>44905</v>
      </c>
      <c r="G59" s="35">
        <v>44908</v>
      </c>
      <c r="H59" s="36">
        <v>85</v>
      </c>
      <c r="I59" s="9" t="s">
        <v>54</v>
      </c>
    </row>
    <row r="60" spans="2:9" ht="15" customHeight="1" x14ac:dyDescent="0.2">
      <c r="B60" s="31">
        <v>2023</v>
      </c>
      <c r="C60" s="31">
        <v>4</v>
      </c>
      <c r="D60" s="31" t="s">
        <v>18</v>
      </c>
      <c r="E60" s="31" t="s">
        <v>74</v>
      </c>
      <c r="F60" s="37">
        <v>45027</v>
      </c>
      <c r="G60" s="37">
        <v>45029</v>
      </c>
      <c r="H60" s="38">
        <v>55</v>
      </c>
      <c r="I60" s="9" t="s">
        <v>54</v>
      </c>
    </row>
    <row r="61" spans="2:9" ht="15" customHeight="1" x14ac:dyDescent="0.2">
      <c r="B61" s="34">
        <v>2023</v>
      </c>
      <c r="C61" s="34">
        <v>5</v>
      </c>
      <c r="D61" s="34" t="s">
        <v>14</v>
      </c>
      <c r="E61" s="34" t="s">
        <v>55</v>
      </c>
      <c r="F61" s="35">
        <v>45073</v>
      </c>
      <c r="G61" s="35">
        <v>45078</v>
      </c>
      <c r="H61" s="36">
        <v>195</v>
      </c>
      <c r="I61" s="9" t="s">
        <v>54</v>
      </c>
    </row>
    <row r="62" spans="2:9" ht="15" customHeight="1" x14ac:dyDescent="0.2">
      <c r="B62" s="31">
        <v>2023</v>
      </c>
      <c r="C62" s="31">
        <v>6</v>
      </c>
      <c r="D62" s="31" t="s">
        <v>15</v>
      </c>
      <c r="E62" s="31" t="s">
        <v>75</v>
      </c>
      <c r="F62" s="37">
        <v>45083</v>
      </c>
      <c r="G62" s="37">
        <v>45088</v>
      </c>
      <c r="H62" s="38">
        <v>150</v>
      </c>
      <c r="I62" s="9" t="s">
        <v>54</v>
      </c>
    </row>
    <row r="63" spans="2:9" ht="15" customHeight="1" x14ac:dyDescent="0.2">
      <c r="B63" s="34">
        <v>2023</v>
      </c>
      <c r="C63" s="34">
        <v>7</v>
      </c>
      <c r="D63" s="34" t="s">
        <v>17</v>
      </c>
      <c r="E63" s="34" t="s">
        <v>76</v>
      </c>
      <c r="F63" s="35">
        <v>45120</v>
      </c>
      <c r="G63" s="35">
        <v>45122</v>
      </c>
      <c r="H63" s="36">
        <v>65</v>
      </c>
      <c r="I63" s="9" t="s">
        <v>54</v>
      </c>
    </row>
    <row r="64" spans="2:9" ht="15" customHeight="1" x14ac:dyDescent="0.2">
      <c r="B64" s="31">
        <v>2023</v>
      </c>
      <c r="C64" s="31">
        <v>7</v>
      </c>
      <c r="D64" s="31" t="s">
        <v>14</v>
      </c>
      <c r="E64" s="31" t="s">
        <v>77</v>
      </c>
      <c r="F64" s="37">
        <v>45128</v>
      </c>
      <c r="G64" s="37">
        <v>45134</v>
      </c>
      <c r="H64" s="38">
        <v>185</v>
      </c>
      <c r="I64" s="9" t="s">
        <v>54</v>
      </c>
    </row>
    <row r="65" spans="2:9" ht="15" customHeight="1" x14ac:dyDescent="0.2">
      <c r="B65" s="34">
        <v>2023</v>
      </c>
      <c r="C65" s="34">
        <v>7</v>
      </c>
      <c r="D65" s="34" t="s">
        <v>15</v>
      </c>
      <c r="E65" s="34" t="s">
        <v>78</v>
      </c>
      <c r="F65" s="35">
        <v>45136</v>
      </c>
      <c r="G65" s="35">
        <v>45139</v>
      </c>
      <c r="H65" s="36">
        <v>175</v>
      </c>
      <c r="I65" s="9" t="s">
        <v>54</v>
      </c>
    </row>
    <row r="66" spans="2:9" ht="15" customHeight="1" x14ac:dyDescent="0.2">
      <c r="B66" s="31">
        <v>2023</v>
      </c>
      <c r="C66" s="31">
        <v>8</v>
      </c>
      <c r="D66" s="31" t="s">
        <v>14</v>
      </c>
      <c r="E66" s="31" t="s">
        <v>62</v>
      </c>
      <c r="F66" s="37">
        <v>45162</v>
      </c>
      <c r="G66" s="37">
        <v>45168</v>
      </c>
      <c r="H66" s="38">
        <v>195</v>
      </c>
      <c r="I66" s="9" t="s">
        <v>54</v>
      </c>
    </row>
    <row r="67" spans="2:9" ht="15" customHeight="1" x14ac:dyDescent="0.2">
      <c r="B67" s="34">
        <v>2023</v>
      </c>
      <c r="C67" s="34">
        <v>8</v>
      </c>
      <c r="D67" s="34" t="s">
        <v>15</v>
      </c>
      <c r="E67" s="34" t="s">
        <v>102</v>
      </c>
      <c r="F67" s="35">
        <v>45168</v>
      </c>
      <c r="G67" s="35">
        <v>45173</v>
      </c>
      <c r="H67" s="36">
        <v>155</v>
      </c>
      <c r="I67" s="9" t="s">
        <v>54</v>
      </c>
    </row>
    <row r="68" spans="2:9" ht="15" customHeight="1" x14ac:dyDescent="0.2">
      <c r="B68" s="31">
        <v>2023</v>
      </c>
      <c r="C68" s="31">
        <v>9</v>
      </c>
      <c r="D68" s="31" t="s">
        <v>18</v>
      </c>
      <c r="E68" s="31" t="s">
        <v>79</v>
      </c>
      <c r="F68" s="37">
        <v>45174</v>
      </c>
      <c r="G68" s="37">
        <v>45175</v>
      </c>
      <c r="H68" s="38">
        <v>55</v>
      </c>
      <c r="I68" s="9" t="s">
        <v>54</v>
      </c>
    </row>
    <row r="69" spans="2:9" ht="15" customHeight="1" x14ac:dyDescent="0.2">
      <c r="B69" s="34">
        <v>2023</v>
      </c>
      <c r="C69" s="34">
        <v>9</v>
      </c>
      <c r="D69" s="34" t="s">
        <v>15</v>
      </c>
      <c r="E69" s="34" t="s">
        <v>109</v>
      </c>
      <c r="F69" s="35">
        <v>45198</v>
      </c>
      <c r="G69" s="35">
        <v>45205</v>
      </c>
      <c r="H69" s="36">
        <v>175</v>
      </c>
      <c r="I69" s="9" t="s">
        <v>54</v>
      </c>
    </row>
    <row r="70" spans="2:9" ht="15" customHeight="1" x14ac:dyDescent="0.2">
      <c r="B70" s="31">
        <v>2023</v>
      </c>
      <c r="C70" s="31">
        <v>12</v>
      </c>
      <c r="D70" s="31" t="s">
        <v>17</v>
      </c>
      <c r="E70" s="31" t="s">
        <v>80</v>
      </c>
      <c r="F70" s="37">
        <v>45277</v>
      </c>
      <c r="G70" s="37">
        <v>45278</v>
      </c>
      <c r="H70" s="38">
        <v>65</v>
      </c>
      <c r="I70" s="9" t="s">
        <v>54</v>
      </c>
    </row>
    <row r="71" spans="2:9" ht="15" customHeight="1" x14ac:dyDescent="0.2">
      <c r="B71" s="34">
        <v>2024</v>
      </c>
      <c r="C71" s="34">
        <v>5</v>
      </c>
      <c r="D71" s="34" t="s">
        <v>15</v>
      </c>
      <c r="E71" s="34" t="s">
        <v>121</v>
      </c>
      <c r="F71" s="35">
        <v>45436</v>
      </c>
      <c r="G71" s="35">
        <v>45441</v>
      </c>
      <c r="H71" s="36">
        <v>140</v>
      </c>
      <c r="I71" s="9" t="s">
        <v>54</v>
      </c>
    </row>
    <row r="72" spans="2:9" ht="15" customHeight="1" x14ac:dyDescent="0.2">
      <c r="B72" s="31">
        <v>2024</v>
      </c>
      <c r="C72" s="31">
        <v>7</v>
      </c>
      <c r="D72" s="31" t="s">
        <v>18</v>
      </c>
      <c r="E72" s="31" t="s">
        <v>82</v>
      </c>
      <c r="F72" s="37">
        <v>45492</v>
      </c>
      <c r="G72" s="37">
        <v>45493</v>
      </c>
      <c r="H72" s="38">
        <v>55</v>
      </c>
      <c r="I72" s="9" t="s">
        <v>54</v>
      </c>
    </row>
    <row r="73" spans="2:9" ht="15" customHeight="1" x14ac:dyDescent="0.2">
      <c r="B73" s="34">
        <v>2024</v>
      </c>
      <c r="C73" s="34">
        <v>7</v>
      </c>
      <c r="D73" s="34" t="s">
        <v>14</v>
      </c>
      <c r="E73" s="34" t="s">
        <v>104</v>
      </c>
      <c r="F73" s="35">
        <v>45492</v>
      </c>
      <c r="G73" s="35">
        <v>45498</v>
      </c>
      <c r="H73" s="36">
        <v>185</v>
      </c>
      <c r="I73" s="9" t="s">
        <v>54</v>
      </c>
    </row>
    <row r="74" spans="2:9" ht="15" customHeight="1" x14ac:dyDescent="0.2">
      <c r="B74" s="31">
        <v>2024</v>
      </c>
      <c r="C74" s="31">
        <v>8</v>
      </c>
      <c r="D74" s="31" t="s">
        <v>17</v>
      </c>
      <c r="E74" s="31" t="s">
        <v>83</v>
      </c>
      <c r="F74" s="37">
        <v>45522</v>
      </c>
      <c r="G74" s="37">
        <v>45523</v>
      </c>
      <c r="H74" s="38">
        <v>65</v>
      </c>
      <c r="I74" s="9" t="s">
        <v>54</v>
      </c>
    </row>
    <row r="75" spans="2:9" ht="15" customHeight="1" x14ac:dyDescent="0.2">
      <c r="B75" s="34">
        <v>2024</v>
      </c>
      <c r="C75" s="34">
        <v>9</v>
      </c>
      <c r="D75" s="34" t="s">
        <v>16</v>
      </c>
      <c r="E75" s="34" t="s">
        <v>84</v>
      </c>
      <c r="F75" s="35">
        <v>45536</v>
      </c>
      <c r="G75" s="35">
        <v>45539</v>
      </c>
      <c r="H75" s="36">
        <v>100</v>
      </c>
      <c r="I75" s="9" t="s">
        <v>54</v>
      </c>
    </row>
    <row r="76" spans="2:9" ht="15" customHeight="1" x14ac:dyDescent="0.2">
      <c r="B76" s="31">
        <v>2024</v>
      </c>
      <c r="C76" s="31">
        <v>9</v>
      </c>
      <c r="D76" s="31" t="s">
        <v>17</v>
      </c>
      <c r="E76" s="31" t="s">
        <v>105</v>
      </c>
      <c r="F76" s="37">
        <v>45548</v>
      </c>
      <c r="G76" s="37">
        <v>45549</v>
      </c>
      <c r="H76" s="38">
        <v>65</v>
      </c>
      <c r="I76" s="9" t="s">
        <v>54</v>
      </c>
    </row>
    <row r="77" spans="2:9" ht="15" customHeight="1" x14ac:dyDescent="0.2">
      <c r="B77" s="34">
        <v>2024</v>
      </c>
      <c r="C77" s="34">
        <v>9</v>
      </c>
      <c r="D77" s="34" t="s">
        <v>18</v>
      </c>
      <c r="E77" s="34" t="s">
        <v>85</v>
      </c>
      <c r="F77" s="35">
        <v>45551</v>
      </c>
      <c r="G77" s="35">
        <v>45553</v>
      </c>
      <c r="H77" s="36">
        <v>55</v>
      </c>
      <c r="I77" s="9" t="s">
        <v>54</v>
      </c>
    </row>
    <row r="78" spans="2:9" ht="15" customHeight="1" x14ac:dyDescent="0.2">
      <c r="B78" s="31">
        <v>2024</v>
      </c>
      <c r="C78" s="31">
        <v>9</v>
      </c>
      <c r="D78" s="31" t="s">
        <v>17</v>
      </c>
      <c r="E78" s="31" t="s">
        <v>56</v>
      </c>
      <c r="F78" s="37">
        <v>45552</v>
      </c>
      <c r="G78" s="37">
        <v>45553</v>
      </c>
      <c r="H78" s="38">
        <v>85</v>
      </c>
      <c r="I78" s="9" t="s">
        <v>54</v>
      </c>
    </row>
    <row r="79" spans="2:9" ht="15" customHeight="1" x14ac:dyDescent="0.2">
      <c r="B79" s="34">
        <v>2024</v>
      </c>
      <c r="C79" s="34">
        <v>9</v>
      </c>
      <c r="D79" s="34" t="s">
        <v>18</v>
      </c>
      <c r="E79" s="34" t="s">
        <v>86</v>
      </c>
      <c r="F79" s="35">
        <v>45555</v>
      </c>
      <c r="G79" s="35">
        <v>45556</v>
      </c>
      <c r="H79" s="36">
        <v>55</v>
      </c>
      <c r="I79" s="9" t="s">
        <v>54</v>
      </c>
    </row>
    <row r="80" spans="2:9" ht="15" customHeight="1" x14ac:dyDescent="0.2">
      <c r="B80" s="31">
        <v>2024</v>
      </c>
      <c r="C80" s="31">
        <v>9</v>
      </c>
      <c r="D80" s="31" t="s">
        <v>14</v>
      </c>
      <c r="E80" s="31" t="s">
        <v>87</v>
      </c>
      <c r="F80" s="37">
        <v>45561</v>
      </c>
      <c r="G80" s="37">
        <v>45569</v>
      </c>
      <c r="H80" s="38">
        <v>195</v>
      </c>
      <c r="I80" s="9" t="s">
        <v>6</v>
      </c>
    </row>
    <row r="81" spans="2:9" ht="15" customHeight="1" x14ac:dyDescent="0.2">
      <c r="B81" s="34">
        <v>2024</v>
      </c>
      <c r="C81" s="34">
        <v>10</v>
      </c>
      <c r="D81" s="34" t="s">
        <v>16</v>
      </c>
      <c r="E81" s="34" t="s">
        <v>114</v>
      </c>
      <c r="F81" s="35">
        <v>45586</v>
      </c>
      <c r="G81" s="35">
        <v>45590</v>
      </c>
      <c r="H81" s="36">
        <v>95</v>
      </c>
      <c r="I81" s="9" t="s">
        <v>54</v>
      </c>
    </row>
    <row r="82" spans="2:9" ht="15" customHeight="1" x14ac:dyDescent="0.2">
      <c r="B82" s="31">
        <v>2024</v>
      </c>
      <c r="C82" s="31">
        <v>10</v>
      </c>
      <c r="D82" s="31" t="s">
        <v>14</v>
      </c>
      <c r="E82" s="31" t="s">
        <v>115</v>
      </c>
      <c r="F82" s="37">
        <v>45591</v>
      </c>
      <c r="G82" s="37">
        <v>45597</v>
      </c>
      <c r="H82" s="38">
        <v>195</v>
      </c>
      <c r="I82" s="9" t="s">
        <v>54</v>
      </c>
    </row>
    <row r="83" spans="2:9" ht="15" customHeight="1" x14ac:dyDescent="0.2">
      <c r="B83" s="34">
        <v>2024</v>
      </c>
      <c r="C83" s="34">
        <v>11</v>
      </c>
      <c r="D83" s="34" t="s">
        <v>15</v>
      </c>
      <c r="E83" s="34" t="s">
        <v>88</v>
      </c>
      <c r="F83" s="35">
        <v>45599</v>
      </c>
      <c r="G83" s="35">
        <v>45604</v>
      </c>
      <c r="H83" s="36">
        <v>175</v>
      </c>
      <c r="I83" s="9" t="s">
        <v>54</v>
      </c>
    </row>
    <row r="84" spans="2:9" ht="15" customHeight="1" x14ac:dyDescent="0.2">
      <c r="B84" s="31">
        <v>2024</v>
      </c>
      <c r="C84" s="31">
        <v>11</v>
      </c>
      <c r="D84" s="31" t="s">
        <v>15</v>
      </c>
      <c r="E84" s="31" t="s">
        <v>116</v>
      </c>
      <c r="F84" s="37">
        <v>45605</v>
      </c>
      <c r="G84" s="37">
        <v>45608</v>
      </c>
      <c r="H84" s="38">
        <v>130</v>
      </c>
      <c r="I84" s="9" t="s">
        <v>54</v>
      </c>
    </row>
    <row r="85" spans="2:9" ht="15" customHeight="1" x14ac:dyDescent="0.2">
      <c r="B85" s="34">
        <v>2024</v>
      </c>
      <c r="C85" s="34">
        <v>11</v>
      </c>
      <c r="D85" s="34" t="s">
        <v>14</v>
      </c>
      <c r="E85" s="34" t="s">
        <v>89</v>
      </c>
      <c r="F85" s="35">
        <v>45608</v>
      </c>
      <c r="G85" s="35">
        <v>45611</v>
      </c>
      <c r="H85" s="36">
        <v>185</v>
      </c>
      <c r="I85" s="9" t="s">
        <v>54</v>
      </c>
    </row>
    <row r="86" spans="2:9" ht="15" customHeight="1" x14ac:dyDescent="0.2">
      <c r="B86" s="31">
        <v>2024</v>
      </c>
      <c r="C86" s="31">
        <v>11</v>
      </c>
      <c r="D86" s="31" t="s">
        <v>14</v>
      </c>
      <c r="E86" s="31" t="s">
        <v>117</v>
      </c>
      <c r="F86" s="37">
        <v>45610</v>
      </c>
      <c r="G86" s="37">
        <v>45614</v>
      </c>
      <c r="H86" s="38">
        <v>195</v>
      </c>
      <c r="I86" s="9" t="s">
        <v>54</v>
      </c>
    </row>
    <row r="87" spans="2:9" ht="15" customHeight="1" x14ac:dyDescent="0.2">
      <c r="B87" s="34">
        <v>2024</v>
      </c>
      <c r="C87" s="34">
        <v>12</v>
      </c>
      <c r="D87" s="34" t="s">
        <v>18</v>
      </c>
      <c r="E87" s="34" t="s">
        <v>122</v>
      </c>
      <c r="F87" s="35">
        <v>45643</v>
      </c>
      <c r="G87" s="35">
        <v>45644</v>
      </c>
      <c r="H87" s="36">
        <v>55</v>
      </c>
      <c r="I87" s="9" t="s">
        <v>54</v>
      </c>
    </row>
    <row r="88" spans="2:9" ht="15" customHeight="1" x14ac:dyDescent="0.2">
      <c r="B88" s="31">
        <v>2024</v>
      </c>
      <c r="C88" s="31">
        <v>12</v>
      </c>
      <c r="D88" s="31" t="s">
        <v>18</v>
      </c>
      <c r="E88" s="31" t="s">
        <v>123</v>
      </c>
      <c r="F88" s="37">
        <v>45648</v>
      </c>
      <c r="G88" s="37">
        <v>45649</v>
      </c>
      <c r="H88" s="38">
        <v>70</v>
      </c>
      <c r="I88" s="9" t="s">
        <v>54</v>
      </c>
    </row>
    <row r="89" spans="2:9" ht="15" customHeight="1" x14ac:dyDescent="0.2">
      <c r="B89" s="20"/>
      <c r="C89" s="20"/>
      <c r="D89" s="20"/>
      <c r="E89" s="20"/>
      <c r="F89" s="21"/>
      <c r="G89" s="21"/>
      <c r="H89" s="22"/>
    </row>
    <row r="90" spans="2:9" ht="15" customHeight="1" x14ac:dyDescent="0.2">
      <c r="B90" s="8" t="s">
        <v>3</v>
      </c>
      <c r="C90" s="23"/>
      <c r="D90" s="4"/>
      <c r="E90" s="4"/>
      <c r="F90" s="4"/>
    </row>
    <row r="91" spans="2:9" ht="15" customHeight="1" x14ac:dyDescent="0.2">
      <c r="B91" s="8"/>
      <c r="C91" s="23"/>
      <c r="D91" s="4"/>
      <c r="E91" s="4"/>
      <c r="F91" s="4"/>
    </row>
    <row r="92" spans="2:9" ht="15" customHeight="1" x14ac:dyDescent="0.2">
      <c r="B92" s="5" t="s">
        <v>11</v>
      </c>
      <c r="C92" s="3" t="s">
        <v>24</v>
      </c>
      <c r="D92" s="4"/>
      <c r="E92" s="4"/>
      <c r="F92" s="4"/>
    </row>
    <row r="93" spans="2:9" ht="15" customHeight="1" x14ac:dyDescent="0.2">
      <c r="B93" s="5" t="s">
        <v>12</v>
      </c>
      <c r="C93" s="3" t="s">
        <v>25</v>
      </c>
      <c r="D93" s="4"/>
      <c r="E93" s="4"/>
      <c r="F93" s="4"/>
    </row>
    <row r="94" spans="2:9" ht="15" customHeight="1" x14ac:dyDescent="0.2">
      <c r="B94" s="5" t="s">
        <v>23</v>
      </c>
      <c r="C94" s="3" t="s">
        <v>26</v>
      </c>
      <c r="D94" s="4"/>
      <c r="E94" s="4"/>
      <c r="F94" s="4"/>
    </row>
    <row r="95" spans="2:9" ht="15" customHeight="1" x14ac:dyDescent="0.2">
      <c r="B95" s="24" t="s">
        <v>6</v>
      </c>
      <c r="C95" s="3" t="s">
        <v>5</v>
      </c>
      <c r="D95" s="4"/>
      <c r="E95" s="4"/>
      <c r="F95" s="4"/>
    </row>
    <row r="96" spans="2:9" ht="15" customHeight="1" x14ac:dyDescent="0.2">
      <c r="B96" s="24"/>
      <c r="C96" s="3"/>
      <c r="D96" s="4"/>
      <c r="E96" s="4"/>
      <c r="F96" s="4"/>
    </row>
    <row r="97" spans="2:8" ht="15" customHeight="1" x14ac:dyDescent="0.2">
      <c r="B97" s="25"/>
      <c r="C97" s="26"/>
      <c r="D97" s="27"/>
      <c r="E97" s="27"/>
      <c r="F97" s="27"/>
    </row>
    <row r="98" spans="2:8" ht="15" customHeight="1" x14ac:dyDescent="0.2">
      <c r="B98" s="45" t="s">
        <v>27</v>
      </c>
      <c r="C98" s="45"/>
      <c r="D98" s="45"/>
      <c r="E98" s="45"/>
      <c r="F98" s="45"/>
      <c r="G98" s="45"/>
      <c r="H98" s="45"/>
    </row>
    <row r="99" spans="2:8" ht="15" customHeight="1" x14ac:dyDescent="0.2">
      <c r="B99" s="6"/>
    </row>
    <row r="100" spans="2:8" ht="15" customHeight="1" x14ac:dyDescent="0.2">
      <c r="B100" s="41" t="s">
        <v>41</v>
      </c>
      <c r="C100" s="41"/>
      <c r="D100" s="41"/>
      <c r="E100" s="41"/>
      <c r="F100" s="41"/>
      <c r="G100" s="41"/>
      <c r="H100" s="41"/>
    </row>
    <row r="101" spans="2:8" ht="15" customHeight="1" x14ac:dyDescent="0.25">
      <c r="B101" s="42" t="s">
        <v>32</v>
      </c>
      <c r="C101" s="42"/>
      <c r="D101" s="42"/>
      <c r="E101" s="42"/>
      <c r="F101" s="42"/>
      <c r="G101" s="42"/>
      <c r="H101" s="42"/>
    </row>
    <row r="102" spans="2:8" ht="15" customHeight="1" x14ac:dyDescent="0.25">
      <c r="B102" s="43" t="s">
        <v>30</v>
      </c>
      <c r="C102" s="43"/>
      <c r="D102" s="43"/>
      <c r="E102" s="43"/>
      <c r="F102" s="43"/>
      <c r="G102" s="43"/>
      <c r="H102" s="43"/>
    </row>
    <row r="103" spans="2:8" ht="15" customHeight="1" x14ac:dyDescent="0.25">
      <c r="B103" s="43" t="s">
        <v>34</v>
      </c>
      <c r="C103" s="43"/>
      <c r="D103" s="43"/>
      <c r="E103" s="43"/>
      <c r="F103" s="43"/>
      <c r="G103" s="43"/>
      <c r="H103" s="43"/>
    </row>
    <row r="104" spans="2:8" ht="15" customHeight="1" x14ac:dyDescent="0.25">
      <c r="B104" s="43" t="s">
        <v>39</v>
      </c>
      <c r="C104" s="43"/>
      <c r="D104" s="43"/>
      <c r="E104" s="43"/>
      <c r="F104" s="43"/>
      <c r="G104" s="43"/>
      <c r="H104" s="43"/>
    </row>
    <row r="105" spans="2:8" ht="15" customHeight="1" x14ac:dyDescent="0.25">
      <c r="B105" s="43" t="s">
        <v>40</v>
      </c>
      <c r="C105" s="43"/>
      <c r="D105" s="43"/>
      <c r="E105" s="43"/>
      <c r="F105" s="43"/>
      <c r="G105" s="43"/>
      <c r="H105" s="43"/>
    </row>
    <row r="106" spans="2:8" ht="15" customHeight="1" x14ac:dyDescent="0.2">
      <c r="B106" s="6"/>
    </row>
    <row r="107" spans="2:8" ht="15" customHeight="1" x14ac:dyDescent="0.2">
      <c r="B107" s="41" t="s">
        <v>28</v>
      </c>
      <c r="C107" s="41"/>
      <c r="D107" s="41"/>
      <c r="E107" s="41"/>
      <c r="F107" s="41"/>
      <c r="G107" s="41"/>
      <c r="H107" s="41"/>
    </row>
    <row r="108" spans="2:8" ht="15" customHeight="1" x14ac:dyDescent="0.25">
      <c r="B108" s="42" t="s">
        <v>32</v>
      </c>
      <c r="C108" s="42"/>
      <c r="D108" s="42"/>
      <c r="E108" s="42"/>
      <c r="F108" s="42"/>
      <c r="G108" s="42"/>
      <c r="H108" s="42"/>
    </row>
    <row r="109" spans="2:8" ht="15" customHeight="1" x14ac:dyDescent="0.25">
      <c r="B109" s="43" t="s">
        <v>30</v>
      </c>
      <c r="C109" s="43"/>
      <c r="D109" s="43"/>
      <c r="E109" s="43"/>
      <c r="F109" s="43"/>
      <c r="G109" s="43"/>
      <c r="H109" s="43"/>
    </row>
    <row r="110" spans="2:8" ht="15" customHeight="1" x14ac:dyDescent="0.25">
      <c r="B110" s="43" t="s">
        <v>34</v>
      </c>
      <c r="C110" s="43"/>
      <c r="D110" s="43"/>
      <c r="E110" s="43"/>
      <c r="F110" s="43"/>
      <c r="G110" s="43"/>
      <c r="H110" s="43"/>
    </row>
    <row r="111" spans="2:8" ht="15" customHeight="1" x14ac:dyDescent="0.25">
      <c r="B111" s="43" t="s">
        <v>31</v>
      </c>
      <c r="C111" s="43"/>
      <c r="D111" s="43"/>
      <c r="E111" s="43"/>
      <c r="F111" s="43"/>
      <c r="G111" s="43"/>
      <c r="H111" s="43"/>
    </row>
    <row r="112" spans="2:8" ht="15" customHeight="1" x14ac:dyDescent="0.25">
      <c r="B112" s="43" t="s">
        <v>33</v>
      </c>
      <c r="C112" s="43"/>
      <c r="D112" s="43"/>
      <c r="E112" s="43"/>
      <c r="F112" s="43"/>
      <c r="G112" s="43"/>
      <c r="H112" s="43"/>
    </row>
    <row r="113" spans="2:8" ht="15" customHeight="1" x14ac:dyDescent="0.2">
      <c r="B113" s="44"/>
      <c r="C113" s="44"/>
      <c r="D113" s="44"/>
      <c r="E113" s="44"/>
      <c r="F113" s="44"/>
      <c r="G113" s="44"/>
      <c r="H113" s="44"/>
    </row>
    <row r="114" spans="2:8" ht="15" customHeight="1" x14ac:dyDescent="0.2">
      <c r="B114" s="41" t="s">
        <v>29</v>
      </c>
      <c r="C114" s="41"/>
      <c r="D114" s="41"/>
      <c r="E114" s="41"/>
      <c r="F114" s="41"/>
      <c r="G114" s="41"/>
      <c r="H114" s="41"/>
    </row>
    <row r="115" spans="2:8" ht="15" customHeight="1" x14ac:dyDescent="0.25">
      <c r="B115" s="42" t="s">
        <v>35</v>
      </c>
      <c r="C115" s="42"/>
      <c r="D115" s="42"/>
      <c r="E115" s="42"/>
      <c r="F115" s="42"/>
      <c r="G115" s="42"/>
      <c r="H115" s="42"/>
    </row>
    <row r="116" spans="2:8" ht="15" customHeight="1" x14ac:dyDescent="0.25">
      <c r="B116" s="10" t="s">
        <v>36</v>
      </c>
    </row>
    <row r="117" spans="2:8" ht="15" customHeight="1" x14ac:dyDescent="0.25">
      <c r="B117" s="10" t="s">
        <v>37</v>
      </c>
    </row>
    <row r="120" spans="2:8" ht="15" customHeight="1" x14ac:dyDescent="0.2">
      <c r="B120" s="2" t="s">
        <v>4</v>
      </c>
      <c r="C120" s="1"/>
      <c r="D120" s="1"/>
      <c r="E120" s="1"/>
    </row>
  </sheetData>
  <mergeCells count="18">
    <mergeCell ref="B98:H98"/>
    <mergeCell ref="B107:H107"/>
    <mergeCell ref="B108:H108"/>
    <mergeCell ref="B1:H1"/>
    <mergeCell ref="B2:H2"/>
    <mergeCell ref="B100:H100"/>
    <mergeCell ref="B101:H101"/>
    <mergeCell ref="B102:H102"/>
    <mergeCell ref="B103:H103"/>
    <mergeCell ref="B104:H104"/>
    <mergeCell ref="B105:H105"/>
    <mergeCell ref="B114:H114"/>
    <mergeCell ref="B115:H115"/>
    <mergeCell ref="B109:H109"/>
    <mergeCell ref="B110:H110"/>
    <mergeCell ref="B111:H111"/>
    <mergeCell ref="B112:H112"/>
    <mergeCell ref="B113:H113"/>
  </mergeCells>
  <pageMargins left="0.75320512820512819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PUMIS06</dc:creator>
  <cp:lastModifiedBy>PC</cp:lastModifiedBy>
  <cp:lastPrinted>2022-04-20T10:28:53Z</cp:lastPrinted>
  <dcterms:created xsi:type="dcterms:W3CDTF">2016-08-11T07:03:07Z</dcterms:created>
  <dcterms:modified xsi:type="dcterms:W3CDTF">2025-11-25T01:04:33Z</dcterms:modified>
</cp:coreProperties>
</file>